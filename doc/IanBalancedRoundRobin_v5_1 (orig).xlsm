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300" windowWidth="14940" windowHeight="12465" firstSheet="1" activeTab="3"/>
  </bookViews>
  <sheets>
    <sheet name="message" sheetId="1" state="hidden" r:id="rId1"/>
    <sheet name="schedule" sheetId="2" r:id="rId2"/>
    <sheet name="library" sheetId="3" state="hidden" r:id="rId3"/>
    <sheet name="Sheet1" sheetId="4" r:id="rId4"/>
    <sheet name="Sheet2" sheetId="5" r:id="rId5"/>
    <sheet name="Sheet3" sheetId="8" r:id="rId6"/>
    <sheet name="Sheet4" sheetId="9" r:id="rId7"/>
  </sheets>
  <functionGroups builtInGroupCount="17"/>
  <calcPr calcId="145621"/>
</workbook>
</file>

<file path=xl/calcChain.xml><?xml version="1.0" encoding="utf-8"?>
<calcChain xmlns="http://schemas.openxmlformats.org/spreadsheetml/2006/main">
  <c r="C3" i="9" l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2" i="9"/>
  <c r="K40" i="4"/>
  <c r="L40" i="4"/>
  <c r="M40" i="4"/>
  <c r="N40" i="4"/>
  <c r="K41" i="4"/>
  <c r="L41" i="4"/>
  <c r="M41" i="4"/>
  <c r="N41" i="4"/>
  <c r="K42" i="4"/>
  <c r="L42" i="4"/>
  <c r="M42" i="4"/>
  <c r="N42" i="4"/>
  <c r="K43" i="4"/>
  <c r="L43" i="4"/>
  <c r="M43" i="4"/>
  <c r="N43" i="4"/>
  <c r="K44" i="4"/>
  <c r="L44" i="4"/>
  <c r="M44" i="4"/>
  <c r="N44" i="4"/>
  <c r="K45" i="4"/>
  <c r="L45" i="4"/>
  <c r="M45" i="4"/>
  <c r="N45" i="4"/>
  <c r="K46" i="4"/>
  <c r="L46" i="4"/>
  <c r="M46" i="4"/>
  <c r="N46" i="4"/>
  <c r="K47" i="4"/>
  <c r="L47" i="4"/>
  <c r="M47" i="4"/>
  <c r="N47" i="4"/>
  <c r="K48" i="4"/>
  <c r="L48" i="4"/>
  <c r="M48" i="4"/>
  <c r="N48" i="4"/>
  <c r="J41" i="4"/>
  <c r="J42" i="4"/>
  <c r="J43" i="4"/>
  <c r="J44" i="4"/>
  <c r="J45" i="4"/>
  <c r="J46" i="4"/>
  <c r="J47" i="4"/>
  <c r="J48" i="4"/>
  <c r="J40" i="4"/>
  <c r="K31" i="4"/>
  <c r="L31" i="4"/>
  <c r="M31" i="4"/>
  <c r="N31" i="4"/>
  <c r="K32" i="4"/>
  <c r="L32" i="4"/>
  <c r="M32" i="4"/>
  <c r="N32" i="4"/>
  <c r="K33" i="4"/>
  <c r="L33" i="4"/>
  <c r="M33" i="4"/>
  <c r="N33" i="4"/>
  <c r="K34" i="4"/>
  <c r="L34" i="4"/>
  <c r="M34" i="4"/>
  <c r="N34" i="4"/>
  <c r="K35" i="4"/>
  <c r="L35" i="4"/>
  <c r="M35" i="4"/>
  <c r="N35" i="4"/>
  <c r="K36" i="4"/>
  <c r="L36" i="4"/>
  <c r="M36" i="4"/>
  <c r="N36" i="4"/>
  <c r="K37" i="4"/>
  <c r="L37" i="4"/>
  <c r="M37" i="4"/>
  <c r="N37" i="4"/>
  <c r="K38" i="4"/>
  <c r="L38" i="4"/>
  <c r="M38" i="4"/>
  <c r="N38" i="4"/>
  <c r="K39" i="4"/>
  <c r="L39" i="4"/>
  <c r="M39" i="4"/>
  <c r="N39" i="4"/>
  <c r="J32" i="4"/>
  <c r="J33" i="4"/>
  <c r="J34" i="4"/>
  <c r="J35" i="4"/>
  <c r="J36" i="4"/>
  <c r="J37" i="4"/>
  <c r="J38" i="4"/>
  <c r="J39" i="4"/>
  <c r="J31" i="4"/>
  <c r="J23" i="4"/>
  <c r="K23" i="4"/>
  <c r="L23" i="4"/>
  <c r="M23" i="4"/>
  <c r="N23" i="4"/>
  <c r="J24" i="4"/>
  <c r="K24" i="4"/>
  <c r="L24" i="4"/>
  <c r="M24" i="4"/>
  <c r="N24" i="4"/>
  <c r="J25" i="4"/>
  <c r="K25" i="4"/>
  <c r="L25" i="4"/>
  <c r="M25" i="4"/>
  <c r="N25" i="4"/>
  <c r="J26" i="4"/>
  <c r="K26" i="4"/>
  <c r="L26" i="4"/>
  <c r="M26" i="4"/>
  <c r="N26" i="4"/>
  <c r="J27" i="4"/>
  <c r="K27" i="4"/>
  <c r="L27" i="4"/>
  <c r="M27" i="4"/>
  <c r="N27" i="4"/>
  <c r="J28" i="4"/>
  <c r="K28" i="4"/>
  <c r="L28" i="4"/>
  <c r="M28" i="4"/>
  <c r="N28" i="4"/>
  <c r="J29" i="4"/>
  <c r="K29" i="4"/>
  <c r="L29" i="4"/>
  <c r="M29" i="4"/>
  <c r="N29" i="4"/>
  <c r="J30" i="4"/>
  <c r="K30" i="4"/>
  <c r="L30" i="4"/>
  <c r="M30" i="4"/>
  <c r="N30" i="4"/>
  <c r="K22" i="4"/>
  <c r="L22" i="4"/>
  <c r="M22" i="4"/>
  <c r="N22" i="4"/>
  <c r="J22" i="4"/>
  <c r="N21" i="4"/>
  <c r="M21" i="4"/>
  <c r="L21" i="4"/>
  <c r="K21" i="4"/>
  <c r="J21" i="4"/>
  <c r="N20" i="4"/>
  <c r="M20" i="4"/>
  <c r="L20" i="4"/>
  <c r="K20" i="4"/>
  <c r="J20" i="4"/>
  <c r="N19" i="4"/>
  <c r="M19" i="4"/>
  <c r="L19" i="4"/>
  <c r="K19" i="4"/>
  <c r="J19" i="4"/>
  <c r="N18" i="4"/>
  <c r="M18" i="4"/>
  <c r="L18" i="4"/>
  <c r="K18" i="4"/>
  <c r="J18" i="4"/>
  <c r="N17" i="4"/>
  <c r="M17" i="4"/>
  <c r="L17" i="4"/>
  <c r="K17" i="4"/>
  <c r="J17" i="4"/>
  <c r="N16" i="4"/>
  <c r="M16" i="4"/>
  <c r="L16" i="4"/>
  <c r="K16" i="4"/>
  <c r="J16" i="4"/>
  <c r="N15" i="4"/>
  <c r="M15" i="4"/>
  <c r="L15" i="4"/>
  <c r="K15" i="4"/>
  <c r="J15" i="4"/>
  <c r="N14" i="4"/>
  <c r="M14" i="4"/>
  <c r="L14" i="4"/>
  <c r="K14" i="4"/>
  <c r="J14" i="4"/>
  <c r="N13" i="4"/>
  <c r="M13" i="4"/>
  <c r="L13" i="4"/>
  <c r="K13" i="4"/>
  <c r="J13" i="4"/>
  <c r="J2" i="4"/>
  <c r="K2" i="4"/>
  <c r="L2" i="4"/>
  <c r="M2" i="4"/>
  <c r="J3" i="4"/>
  <c r="K3" i="4"/>
  <c r="L3" i="4"/>
  <c r="M3" i="4"/>
  <c r="J4" i="4"/>
  <c r="K4" i="4"/>
  <c r="L4" i="4"/>
  <c r="M4" i="4"/>
  <c r="J5" i="4"/>
  <c r="K5" i="4"/>
  <c r="L5" i="4"/>
  <c r="M5" i="4"/>
  <c r="J6" i="4"/>
  <c r="K6" i="4"/>
  <c r="L6" i="4"/>
  <c r="M6" i="4"/>
  <c r="J7" i="4"/>
  <c r="K7" i="4"/>
  <c r="L7" i="4"/>
  <c r="M7" i="4"/>
  <c r="J8" i="4"/>
  <c r="K8" i="4"/>
  <c r="L8" i="4"/>
  <c r="M8" i="4"/>
  <c r="J9" i="4"/>
  <c r="K9" i="4"/>
  <c r="L9" i="4"/>
  <c r="M9" i="4"/>
  <c r="J10" i="4"/>
  <c r="K10" i="4"/>
  <c r="L10" i="4"/>
  <c r="M10" i="4"/>
  <c r="J11" i="4"/>
  <c r="K11" i="4"/>
  <c r="L11" i="4"/>
  <c r="M11" i="4"/>
  <c r="J12" i="4"/>
  <c r="K12" i="4"/>
  <c r="L12" i="4"/>
  <c r="M12" i="4"/>
  <c r="N3" i="4"/>
  <c r="N4" i="4"/>
  <c r="N5" i="4"/>
  <c r="N6" i="4"/>
  <c r="N7" i="4"/>
  <c r="N8" i="4"/>
  <c r="N9" i="4"/>
  <c r="N10" i="4"/>
  <c r="N11" i="4"/>
  <c r="N12" i="4"/>
  <c r="N2" i="4"/>
</calcChain>
</file>

<file path=xl/sharedStrings.xml><?xml version="1.0" encoding="utf-8"?>
<sst xmlns="http://schemas.openxmlformats.org/spreadsheetml/2006/main" count="1636" uniqueCount="694">
  <si>
    <t>0516273849</t>
  </si>
  <si>
    <t>4102639785</t>
  </si>
  <si>
    <t>3298405671</t>
  </si>
  <si>
    <t>1957864230</t>
  </si>
  <si>
    <t>2843950167</t>
  </si>
  <si>
    <t>9625317408</t>
  </si>
  <si>
    <t>8739546012</t>
  </si>
  <si>
    <t>6470182953</t>
  </si>
  <si>
    <t>7384091526</t>
  </si>
  <si>
    <t>238=16&lt;?:;05&gt;947</t>
  </si>
  <si>
    <t>549;8?26&lt;=1307:&gt;</t>
  </si>
  <si>
    <t>01:&lt;;&gt;57982436?=</t>
  </si>
  <si>
    <t>6753409:?&gt;=;8&lt;21</t>
  </si>
  <si>
    <t>&lt;;71258&gt;349?:=06</t>
  </si>
  <si>
    <t>&gt;=023741568:?;9&lt;</t>
  </si>
  <si>
    <t>?:469=3072&gt;&lt;51;8</t>
  </si>
  <si>
    <t>803:6&lt;&gt;5;7491?=2</t>
  </si>
  <si>
    <t>;219?47=85:6&lt;3&gt;0</t>
  </si>
  <si>
    <t>4&gt;&lt;7:218=3?0956;</t>
  </si>
  <si>
    <t>=6?509;3&gt;1&lt;27:84</t>
  </si>
  <si>
    <t>3?=05;694&lt;7&gt;281:</t>
  </si>
  <si>
    <t>1&lt;2&gt;78:46?5=;039</t>
  </si>
  <si>
    <t>79;4=1?20:386&gt;&lt;5</t>
  </si>
  <si>
    <t>:568&gt;30&lt;29;1=47?</t>
  </si>
  <si>
    <t>0;1&lt;2=3&gt;4?5@6A7B8C9D:E</t>
  </si>
  <si>
    <t>1:=;3&lt;24@&gt;A?5786BDEC09</t>
  </si>
  <si>
    <t>293:;?15=6&gt;B48@DAE70C&lt;</t>
  </si>
  <si>
    <t>83D?E@;AB&lt;C=&gt;9:4506172</t>
  </si>
  <si>
    <t>475896EB;C&lt;D2:30?1=@A&gt;</t>
  </si>
  <si>
    <t>65BA87CD:9;E10&lt;=32?&gt;@4</t>
  </si>
  <si>
    <t>E120&lt;&gt;=?5364@BCA79:8;D</t>
  </si>
  <si>
    <t>D2&gt;E04&lt;@A=37?C596:B;81</t>
  </si>
  <si>
    <t>3C94:5067182D&gt;E?@;A&lt;B=</t>
  </si>
  <si>
    <t>B4@CDA:70819=E&gt;;&lt;?2563</t>
  </si>
  <si>
    <t>5A76CB89ED0:&lt;;12&gt;=43?@</t>
  </si>
  <si>
    <t>&lt;E;2134=&gt;5?67@A89BC:D0</t>
  </si>
  <si>
    <t>=DE34;5&lt;627&gt;8?9@:A0B1C</t>
  </si>
  <si>
    <t>C&gt;4D5E6;&lt;7=893?:0@1A2B</t>
  </si>
  <si>
    <t>?BC56D7E8;9&lt;:=0&gt;14@23A</t>
  </si>
  <si>
    <t>A@6B7CD89E:;0&lt;=12&gt;3?45</t>
  </si>
  <si>
    <t>:&lt;0=&gt;1?23@4AB56CD78E9;</t>
  </si>
  <si>
    <t>9=:&gt;?0@12AB3C4D5E6;7&lt;8</t>
  </si>
  <si>
    <t>&gt;8?9@:A01B2C3D4E;5&lt;6=7</t>
  </si>
  <si>
    <t>7?8@A9B:C0D1E2;34&lt;5=&gt;6</t>
  </si>
  <si>
    <t>@6A7B89CD:E0;12&lt;=3&gt;45?</t>
  </si>
  <si>
    <t>071892:3;45&lt;=6&gt;E?FG@HABIJCDK</t>
  </si>
  <si>
    <t>1679FA42&lt;:=;05?DGE83B@JHKI&gt;C</t>
  </si>
  <si>
    <t>52:=;78&lt;DG3041@CHKIEFJ96&gt;AB?</t>
  </si>
  <si>
    <t>34&lt;;56=71098H@BAIJCDKE?&gt;FG2:</t>
  </si>
  <si>
    <t>K?20:8;93546&lt;71=@&gt;HFIGCADBEJ</t>
  </si>
  <si>
    <t>J@364015=97:8;&lt;2DA&gt;BC?GKHEIF</t>
  </si>
  <si>
    <t>AI54=&lt;067812:9;3CBKJD&gt;FE?@GH</t>
  </si>
  <si>
    <t>=8E@31BGCHID&gt;JFK27?A945:;60&lt;</t>
  </si>
  <si>
    <t>9&lt;KABEFC62H&gt;I?GJ=34785D@0:;1</t>
  </si>
  <si>
    <t>;:JBCKDEF&gt;G?32HI&lt;4=5760891@A</t>
  </si>
  <si>
    <t>DFG&gt;?H@IAJKBEC86901:;2&lt;3=475</t>
  </si>
  <si>
    <t>GCDH&gt;IJ?@KAEBF95:60;1&lt;2=3748</t>
  </si>
  <si>
    <t>HBICJD&gt;KE?F@AG:4;56&lt;0=172893</t>
  </si>
  <si>
    <t>&gt;08KD3&lt;B9@2I5AJ:6H;CG14?E=F7</t>
  </si>
  <si>
    <t>F=?1K9E40C:AJ36B&gt;;7I&lt;DH2@58G</t>
  </si>
  <si>
    <t>6A=G2@K:5FD1;B4&gt;7C&lt;?J8E0I3H9</t>
  </si>
  <si>
    <t>4JB7H=3AK;6G2EC&lt;5?D8@0&gt;91F:I</t>
  </si>
  <si>
    <t>2G&gt;58CI=4B&lt;K7H3F0D@6E9A1:?J;</t>
  </si>
  <si>
    <t>@;H36?9DJ=C5K0I84GE1A7:FB2&lt;&gt;</t>
  </si>
  <si>
    <t>C3A&lt;I47@:E&gt;=6DK1J95H2F8BG;?0</t>
  </si>
  <si>
    <t>&lt;H4D0B5J8A;F?=E7K2:&gt;6I3GC91@</t>
  </si>
  <si>
    <t>:D0IE5C1&gt;6B9G&lt;=@F83K?;7J4HA2</t>
  </si>
  <si>
    <t>I5;E1J6F2D?7C:0HA=9G4K@&lt;8&gt;3B</t>
  </si>
  <si>
    <t>?96J&lt;F2&gt;G7E3@8D;1IB=:HK5A0C4</t>
  </si>
  <si>
    <t>B1@:7&gt;G0?38HF4A9E&lt;J2=CI;6K5D</t>
  </si>
  <si>
    <t>7KC2A;?8H1@49I5GB:F0&gt;3=D&lt;J6E</t>
  </si>
  <si>
    <t>8E9FG:H;I&lt;0J1&gt;2?3@A45B6C7DK=</t>
  </si>
  <si>
    <t>0A1B2C3D4E5F6G7H8I9J:K;L&lt;M=N&gt;O?P@Q</t>
  </si>
  <si>
    <t>1@02B3CEFD6457GIHJ8:;9MKNL&gt;&lt;?=QOAP</t>
  </si>
  <si>
    <t>?2@30451C6DHIEJFGK7;8&lt;=9&gt;:LPMQANOB</t>
  </si>
  <si>
    <t>3&gt;?4FQ60BH82D9KE;5GM7=OIJP:@LA&lt;1CN</t>
  </si>
  <si>
    <t>=45&gt;?67@0819:23;&lt;EFNGOHPQIJAKBLCMD</t>
  </si>
  <si>
    <t>5&lt;GN7&gt;IPQJ0:BLCM3=OE?F6@AH8192DK;4</t>
  </si>
  <si>
    <t>6;MH=8&gt;9KPQL&lt;0NBOC3?@4FA1G72IDEJ:5</t>
  </si>
  <si>
    <t>:7;89&lt;NKOLMP@=&gt;0?1QCDAEB25364HFIGJ</t>
  </si>
  <si>
    <t>89KJ;:ML&lt;=NO?&gt;PQ0@BA12CD34FE56HGI7</t>
  </si>
  <si>
    <t>Q1ACDB2453GEFH6879IKLJ&lt;:=;OMPN@&gt;0?</t>
  </si>
  <si>
    <t>2PQDAEFBGC3784956:HLIMNJOK;?&lt;@0=&gt;1</t>
  </si>
  <si>
    <t>O3PE5@GA17ICJD:4LF6&lt;HN&gt;89?KQ;0MB2=</t>
  </si>
  <si>
    <t>4NFOPGHQAIBJKCDLEM5=6&gt;7?@890:1;2&lt;3</t>
  </si>
  <si>
    <t>M56=HO8?@9AK1;2&lt;DN&gt;4FPGQ07IBJC3:LE</t>
  </si>
  <si>
    <t>L6&lt;7NIOJ:?@;MA=1&gt;2DPQE50GBHC8349KF</t>
  </si>
  <si>
    <t>7KLIJM=:&gt;;&lt;?QNOAPB@23041CFDGHE5869</t>
  </si>
  <si>
    <t>J8:9LK&lt;;MN=&gt;PO?@AQ10BC23DE54FG76HI</t>
  </si>
  <si>
    <t>BQ2A314CD5E67F8G9H:IJ;K&lt;L=M&gt;N?O@P0</t>
  </si>
  <si>
    <t>PC3Q4AB5627DE8F9:G;H&lt;IJ=K&gt;?L@MN01O</t>
  </si>
  <si>
    <t>DO4PQ5A67BC893E:F;&lt;G=HI&gt;?J@K0L1MN2</t>
  </si>
  <si>
    <t>NEO56PQ78A9BC:;D4&lt;=F&gt;G?HI@0J1K2L3M</t>
  </si>
  <si>
    <t>FMN6O7P89Q:A;B&lt;C=DE&gt;5?@GH01I2JK34L</t>
  </si>
  <si>
    <t>GL7M8N9OP:;QA&lt;B=C&gt;?DE@0F612H3IJ45K</t>
  </si>
  <si>
    <t>KH8LM9:N;OP&lt;=QA&gt;B?C@0D1EF2G374I5J6</t>
  </si>
  <si>
    <t>IJ9K:L;MN&lt;O=&gt;PQ?@A0BC1D2E34FG56H78</t>
  </si>
  <si>
    <t>@BC01DE23F4GH5I6J7K89L:M;N&lt;O=P&gt;Q?A</t>
  </si>
  <si>
    <t>C?D@E01F2GH34I5JK6L7M89N:OP;Q&lt;=AB&gt;</t>
  </si>
  <si>
    <t>&gt;DE?@F0GH12I3J4K5LM6N78OP9Q:A;B&lt;=C</t>
  </si>
  <si>
    <t>E=&gt;FG?@HI0J12KL3M4N5O6P78QA9B:C;D&lt;</t>
  </si>
  <si>
    <t>&lt;F=G&gt;H?IJ@K0L1M2N34OP5Q67AB8C9:DE;</t>
  </si>
  <si>
    <t>;GH&lt;I=J&gt;?KL@0M1N2OP34QA5B6C7D89EF:</t>
  </si>
  <si>
    <t>H:I;&lt;JK=L&gt;?MN@0O1P2QA3B45C6DE78F9G</t>
  </si>
  <si>
    <t>9IJ:K;L&lt;=M&gt;NO?@PQ0A12B3C4DE56FG78H</t>
  </si>
  <si>
    <t>DIJEFKLGMHSNTOPUVQRW5016723894:?@;A&lt;=B&gt;C</t>
  </si>
  <si>
    <t>HEDFQTKMILORNPGJUWSV4120=@7985;&gt;&lt;:36AC?B</t>
  </si>
  <si>
    <t>FGLMDHJIOUQPWVNRTSEK23984056A;&lt;=CB&gt;:?@71</t>
  </si>
  <si>
    <t>OWIKJLHFDGEMSUVTRPQN;C7568423019A?B@&gt;&lt;=:</t>
  </si>
  <si>
    <t>PVGHIMEDJKFLRQSWNOUT&lt;B4395106728&gt;=C?:;@A</t>
  </si>
  <si>
    <t>MJSPGERUVNTWIFQOHKDL96?&lt;31&gt;AB:@C52=;7480</t>
  </si>
  <si>
    <t>KLWQRSNTEFUVMGHIDJOP87C=&gt;?:@12BA395460&lt;;</t>
  </si>
  <si>
    <t>RTUNVOPWSQJHKDELMFIG@&gt;A:B;C&lt;=?6407819235</t>
  </si>
  <si>
    <t>UQVRNWOSTPKGLHDMEIJF=AB&gt;:C;?&lt;@7348905126</t>
  </si>
  <si>
    <t>:0?2A8&gt;69&lt;7C=15@4;B3DNSFLUJRMPWKQEITOHGV</t>
  </si>
  <si>
    <t>&lt;51;3@0B7?9=C82&gt;A64:IPEOGTVDSKQMWLFRJUHN</t>
  </si>
  <si>
    <t>B76=&lt;24A1:@8&gt;9C0?3;5KVQJFPHUENLTMRDWSGOI</t>
  </si>
  <si>
    <t>4@8:&gt;73=B52;A09?1C6&lt;HTNLKRGQIVOFDUSMWEJP</t>
  </si>
  <si>
    <t>C25A;08?4&gt;:6&lt;3B19@=7WFIUDOSLHRJNGPVEMTQK</t>
  </si>
  <si>
    <t>9AC3B6&lt;1@0?5;74=:28&gt;UMWGVJEPTDSIOKQHNFLR</t>
  </si>
  <si>
    <t>3;9B4C:7=2A1@68&lt;5&gt;0?GOMVWHKNQFEUJTLPRISD</t>
  </si>
  <si>
    <t>?64&lt;9:C58;&gt;32B7A=01@JSPHNMWIOLGRFVKUQDET</t>
  </si>
  <si>
    <t>&gt;17@=5;96C&lt;04?3:B8A2ERTKIQOMJWDPSHNGVLUF</t>
  </si>
  <si>
    <t>=80&gt;?1@23A4B:56;7&lt;9CQLRDESFTGUVHINOJPKWM</t>
  </si>
  <si>
    <t>0DF4H32EG1N?PCRBOA@QS5U98WT7V6I:K&gt;M=&lt;J;L</t>
  </si>
  <si>
    <t>2HE10GD4F3RAO@?QCNPB7W6T5V9SU8M&lt;;J:LI&gt;K=</t>
  </si>
  <si>
    <t>G43D2F1H0ECQBNAP@R?OV98SU76W5T&gt;L=I&lt;K;M:J</t>
  </si>
  <si>
    <t>1FH0E4G32DP@?ROCQBNA6U5WT98V7SK;:MJ&gt;L=I&lt;</t>
  </si>
  <si>
    <t>E32G1DF0H4BOQA@NP?CRT8V7S6U5W9=JL&lt;;IK:M&gt;</t>
  </si>
  <si>
    <t>S:&gt;UW=T&lt;;V5I9KM8J7L6?DFCHBAE@GN0P4R32O1Q</t>
  </si>
  <si>
    <t>W&lt;;T:VS&gt;U=M76JL5I9K8AH@E?GDCFBR21O0Q4NP3</t>
  </si>
  <si>
    <t>V&gt;=SU&lt;W;:TL98IK76M5JCGDBAF@H?E4QN3P21R0O</t>
  </si>
  <si>
    <t>;U:WT&gt;=V&lt;S6K5MJ98L7IF@H?CEBGDAP1R04O3QN2</t>
  </si>
  <si>
    <t>T=&lt;VS;U:&gt;W8J7LI6K5M9BEGA@D?FCH3O2Q1N0PR4</t>
  </si>
  <si>
    <t>I?KCMBAJL@0SU4W32TV1N:&gt;PR=&lt;O;Q5D9FH8E76G</t>
  </si>
  <si>
    <t>AM@JL?ICKBW21T0VS43UR&lt;O;Q:N&gt;P=H7E6G5D9F8</t>
  </si>
  <si>
    <t>LCBIKAM@?JV43SU2W1T0&gt;Q=NP&lt;R;:O9G8D7FH65E</t>
  </si>
  <si>
    <t>@KM?CJBLAI1U0WT43V2SP;:RO&gt;Q=N&lt;F6H5E9G8D7</t>
  </si>
  <si>
    <t>JBAL@I?KCM3TV21S0UW4O=&lt;Q;NP:R&gt;8E7G6DF59H</t>
  </si>
  <si>
    <t>5NP98R7OQ6D:F&gt;=H&lt;EG;0IK4M32JL1?SUCWBTAV@</t>
  </si>
  <si>
    <t>7RO65Q9NP8H&lt;E;:G&gt;DF=M2J10LI4K3AWT@?VCSBU</t>
  </si>
  <si>
    <t>Q9N87P6R5OG&gt;D=&lt;F;H:EL43I2KM10JCVBSUA@WT?</t>
  </si>
  <si>
    <t>6PR5O9Q8N7;FH:&gt;EG=&lt;D1K0MJ4L32IU@?WTCBVAS</t>
  </si>
  <si>
    <t>8OQ76N5PR9=EG&lt;;DF:&gt;H3JL21I0K4MTBVA@SU?CW</t>
  </si>
  <si>
    <t>0G1H2I3J4K5L6M7N8O9P:Q;R&lt;S=T&gt;U?V@WAXBYCZD[E\F]</t>
  </si>
  <si>
    <t>F1IGH324LJKM5786NPQO;9&lt;:TRUS?=&gt;@VXWYCABDZ\[]0E</t>
  </si>
  <si>
    <t>E2J]GKLHI6378495MQRNOSTP&gt;:?;@&lt;=AUYVZW[\XFB0C1D</t>
  </si>
  <si>
    <t>D3\K]LGMNHOIJ9:45;6&lt;7=8&gt;VPWQXRYSTZ[U?E@F0A1BC2</t>
  </si>
  <si>
    <t>4C5DM\7FOG19IQ3;K&lt;LT&gt;6NV@8XPB:ZR[SE=U]?0HWA2JY</t>
  </si>
  <si>
    <t>B5C6N[E8F9QG;12&lt;TJ4&gt;L?MWA7YOZPD:\RS]=0HUIV@3KX</t>
  </si>
  <si>
    <t>6AYNOZP[Q\]RSGTHUIJVWKLXMBC7D89EF:0;&lt;1=23&gt;4?5@</t>
  </si>
  <si>
    <t>7@8AYPC:[RS\F=GU1?WIXJ4BLZD6EN]O09HQ;2&lt;3TK&gt;5VM</t>
  </si>
  <si>
    <t>8?@9A:RYSZ=DE&gt;]VWGHX2B3C[KL\F670O1IPJQ4;&lt;5MTNU</t>
  </si>
  <si>
    <t>&gt;9:?RWXSB=ZU[V@EFAYGC1D2J\K]05MHNI83P4LQ6;7&lt;TO</t>
  </si>
  <si>
    <t>=:&gt;;&lt;?TWUXYVC@DAEB]ZG[\HF23014LIJMNK5896Q7ORSP</t>
  </si>
  <si>
    <t>;&lt;ST&gt;=UV@?XWABYZDC\[EFG]10IH23KJ45ML67NO98QPR:</t>
  </si>
  <si>
    <t>1]20JHIK5346LNOM79:8RPSQ=;&gt;&lt;VTUW?A@BZXY[CEDFG\</t>
  </si>
  <si>
    <t>2\3F0451MIJNOKPL6:;78&lt;=9UQVRWSTX&gt;B?C@DEA]YGZH[</t>
  </si>
  <si>
    <t>3[E4F5067182PJQKLRMSNTOU?9@:A;B&lt;=CD&gt;V\W]GXHYZI</t>
  </si>
  <si>
    <t>Z4L[6EN]80HP2:JRSK5=UM7?WOA9YQC;D&lt;\T&gt;FVG1@XI3B</t>
  </si>
  <si>
    <t>5YZM7D\O]P:0RHIS=3KUVL6@XNB8C9[QE;&lt;FTG1&gt;2?WJ4A</t>
  </si>
  <si>
    <t>X6B78C9D:EF;&lt;0=1&gt;23?@45AYMZN[OP\]QGRSHTIJUKVLW</t>
  </si>
  <si>
    <t>W7OXB9ZQD;&lt;E]T0&gt;HV@2A3KY5C[MN\F8GP1:RISJ=4UL?6</t>
  </si>
  <si>
    <t>V8WPXQ;B&lt;CT[\UF?@01AIYJZD45E]MNGHO293:KRSL6=7&gt;</t>
  </si>
  <si>
    <t>9UQV;@A&lt;YTC&gt;D?W\]XB0ZH[I3E4FGL6172OJKP5:MRNS=8</t>
  </si>
  <si>
    <t>:TURSV=@&gt;AB?ZW[X\YFC0DE1]IJGHK523674LOPMNQ8;&lt;9</t>
  </si>
  <si>
    <t>S;&lt;=UT&gt;?WVA@XYBC[ZED\]0FHG21IJ43KL65MN78PO:9QR</t>
  </si>
  <si>
    <t>]HG2314IJ56K7LM89NO:P;Q&lt;R=S&gt;T?@UAVBWXCDYEZF[\0</t>
  </si>
  <si>
    <t>\I]34GH5627JK8L9:MN;&lt;OP=Q&gt;R?S@ATBUCVDWXEYFZ0[1</t>
  </si>
  <si>
    <t>[J4\5]6GH7I893K:;L&lt;M=N&gt;OP?Q@RASBCTUDEVFWX0Y12Z</t>
  </si>
  <si>
    <t>KZ[5\6]7G89H:I;J&lt;4=LM&gt;?NO@PAQBRCSDTEFU0VW12XY3</t>
  </si>
  <si>
    <t>YL6Z[78\9]G:H;&lt;IJ=&gt;K?5@MNAOBPCQDREFS0TU1V23WX4</t>
  </si>
  <si>
    <t>MX7YZ8[9\:;]G&lt;H=I&gt;?JK@ALB6NCODEPQFR01S2TU3V4W5</t>
  </si>
  <si>
    <t>NWX89Y:Z;[\&lt;=]&gt;G?HI@JABKCLMD7EOFP0Q12R3S4T5U6V</t>
  </si>
  <si>
    <t>OV9W:XY;Z&lt;[=&gt;\?]G@AHBICJKDELMF0N18P2Q3R45ST6U7</t>
  </si>
  <si>
    <t>UPV:W;&lt;X=Y&gt;Z?[\@A]GBHCIDEJFKL01M2N3O49Q5R6S78T</t>
  </si>
  <si>
    <t>TQ;UV&lt;W=X&gt;?Y@ZA[B\C]DGHEIF0JK12LM34NO56P7:R89S</t>
  </si>
  <si>
    <t>RST&lt;=UV&gt;?W@XYAZBC[D\]EFG0H1IJ23KL45MN6O78P9Q:;</t>
  </si>
  <si>
    <t>HF0I1JK23LM4N56OP78Q9R:S;T&lt;U=VW&gt;X?Y@AZ[B\C]DEG</t>
  </si>
  <si>
    <t>IEFJK01L2MN34O5PQ67RS89T:U;V&lt;WX=Y&gt;Z?[@A\B]CGDH</t>
  </si>
  <si>
    <t>JDKELFM01N2O3P4QR5S6T7U89V:W;X&lt;YZ=&gt;[\?]@AGBHIC</t>
  </si>
  <si>
    <t>CKDLEMFN0OP1Q2R34ST56UV78W9X:Y;Z&lt;[=\]&gt;G?@HIABJ</t>
  </si>
  <si>
    <t>LBMCDNOEPF0Q1RS23TU45VW67X8Y9Z:[;\]&lt;G=&gt;H?IJ@AK</t>
  </si>
  <si>
    <t>AMNBCODPEQRF0S1T2UV34WX56Y7Z8[\9:];GH&lt;I=&gt;J?K@L</t>
  </si>
  <si>
    <t>@NAOPBQCRDESTFU0V12W3XY4Z56[\78]9G:HI;J&lt;K=L&gt;M?</t>
  </si>
  <si>
    <t>?OP@QABRCSDTUEVF0WX1Y2Z34[\56]G78H9I:J;KL&lt;=M&gt;N</t>
  </si>
  <si>
    <t>P&gt;?Q@RSATBUCVDEWXF0Y1Z2[\3]45GH6I7J89K:L;M&lt;NO=</t>
  </si>
  <si>
    <t>Q=R&gt;?S@TAUVBWCXDYEZF[01\2]G34HI56JK78LM9:N;OP&lt;</t>
  </si>
  <si>
    <t>&lt;R=ST&gt;?UV@WABXCYZD[EF\]0G1H23IJ45KL67M8NO9P:;Q</t>
  </si>
  <si>
    <t>=01&gt;?23@A45B6CD7E8F9:GH;&lt;IJWKXYLMZN[\OP]Q^_RS`TabUVc</t>
  </si>
  <si>
    <t>1&lt;20XM?AB@4675ECFD:8;9IGH=KVJL3&gt;[Y\ZPNOQ]_`^RTSUcabW</t>
  </si>
  <si>
    <t>;2@I40B&gt;YP37AE95CGHD&lt;8=F1:LUZcJN\X6?QM_[OSa]b^VR`WKT</t>
  </si>
  <si>
    <t>3:4;&lt;5601782SZAGBHCI=DE&gt;?FMTUNVOPJKQRL9@a[b\c]^WX_`Y</t>
  </si>
  <si>
    <t>94:5CHDI08F&gt;?G3;[V=B6127E@NSOT]b^cRJX`YaUM&lt;AW\KPQL_Z</t>
  </si>
  <si>
    <t>58FCDGHE&lt;90:;1?I=@A&gt;L\3647OR]`a^_bVSTJUKcYWZX[B2PMQN</t>
  </si>
  <si>
    <t>76ED89GF;:HI&lt;0=&gt;21?@34AB]OQP_^RSa`UTcbJVXWLKYZMN[\5C</t>
  </si>
  <si>
    <t>Kc=?@&gt;4235CADB8697GEFH&lt;:0;1IYWXZLNOM][\^RPSQ_ab`TVJU</t>
  </si>
  <si>
    <t>Lb3&lt;A=51C?@D84FB6:;7EI09G&gt;2HMV[WOK]Y^ZNR`\TPQUc_SJaX</t>
  </si>
  <si>
    <t>MaHABIC=D&gt;E?@F4:;56&lt;701892G3[b\c]WX^Y_Z`TNUOPVJQKRLS</t>
  </si>
  <si>
    <t>`NGB6;&lt;7E=19:2@HIA05C&gt;?D384Fa\UPQVW_SKTLbZc[OJX]^YRM</t>
  </si>
  <si>
    <t>O_69:78;IFG=H&gt;&lt;23041B?C@AD5EPSQTRUc`WabXVLJMNK\Y]Z[^</t>
  </si>
  <si>
    <t>^P87EF:9GH&lt;;I=10&gt;?23A@45CB6DQR_`STabUVcWJKXYML[ZNO]\</t>
  </si>
  <si>
    <t>I&gt;LW13NYOZP[\Q]R^S_TU`aVbJXc2=KM4?@5A6B78C9DE:;FG&lt;0H</t>
  </si>
  <si>
    <t>?HMcWNOX62ZQR[S\T]U^V_J`KaYb3I4=&gt;5LP@78AB9:CD;&lt;E0F1G</t>
  </si>
  <si>
    <t>@GNbOcPWQXYR39T[\UV]J^_K`LZaH4I5=67&gt;?8SMA:;BC&lt;D01E2F</t>
  </si>
  <si>
    <t>FAOabPQcWRSXTYZU&lt;4J\K]L^M_[`5GH67I8=9&gt;?:;@VNB01C2DE3</t>
  </si>
  <si>
    <t>EBP`aQRbScTWXUVYJZK[52]MN^\_6F7G8H9I:=&gt;;?&lt;0@A1LOC34D</t>
  </si>
  <si>
    <t>DCQ_R`SabTUcWVJXKYZLM[N\56]^E7F89GH:I;=&lt;0&gt;1?@23A4BOP</t>
  </si>
  <si>
    <t>VXJYZKL[M\N]^O_P`QaRSbcTWU&gt;&lt;?0@1A2B34CD56E7F8GH9:I=;</t>
  </si>
  <si>
    <t>YUZVJ[K\L]^M_NO`PaQbRcWSXT?;@&lt;A0B12C3D4E5FG67HI8=9&gt;:</t>
  </si>
  <si>
    <t>ZTU[\V]JK^L_M`NaObcPWQXRYS@:;A&lt;BC01D2E3F4G5H6I=78&gt;9?</t>
  </si>
  <si>
    <t>S[\TU]^V_J`KLaMbcNWOXPYQZR9A:B;C&lt;D0E1F2G3HI45=&gt;67?@8</t>
  </si>
  <si>
    <t>\R]ST^U_V`aJKbLcMWNXYOPZ[QB8C9D:E;F&lt;0GH1I23=4&gt;?5@67A</t>
  </si>
  <si>
    <t>]Q^R_ST`aUbVcJWKLXYMZNO[\PC78DE9:FG;&lt;HI01=2&gt;3?4@5A6B</t>
  </si>
  <si>
    <t>0J?]^:1P7_2\`8a&lt;b9IYc6KHOGFL=ZME3[DRCX5NS;@VUAQ&gt;BTW4</t>
  </si>
  <si>
    <t>CYK1]@;^2Q_8J3`9a=b:IZ7cLHPGFM&gt;[NE4\DS6O&lt;TAWVBR?U0X5</t>
  </si>
  <si>
    <t>TDCZ2LA]^&lt;R39_K4:`&gt;ab;[I8cHMGQNF?\EOJ57P=UBX0W@SV1Y6</t>
  </si>
  <si>
    <t>6KDU[CM3]B=^4S:_5L`;?ab&lt;I\c9NHGRFOJ@EPQ8&gt;VY01XATW2Z7</t>
  </si>
  <si>
    <t>QE7LVD\C4N]0&gt;^5T_;M6`&lt;@a=bIJc:OHGSPFKAR9W?Z12YUB3X8[</t>
  </si>
  <si>
    <t>BLREM8WDJCO51]^?U6&lt;_N7`=aAb&gt;IKc;HPTGFQ:S@X[2Z30VY4\9</t>
  </si>
  <si>
    <t>RF0MSE9NXDKCP62]@^7V_=8O&gt;`aBb?LIc&lt;QHGU;TYA\3[4W1Z5:J</t>
  </si>
  <si>
    <t>GVSFN1ET:ODYCL7Q]3^A8W&gt;_P9`?0ab@IM=cHR&lt;UZB4J\52X6[;K</t>
  </si>
  <si>
    <t>HSWGFT2OUE;PZDCM8R]4^B9X_?:Q`@1abAIN&gt;cV=[0K5J6Y3\7&lt;L</t>
  </si>
  <si>
    <t>c?THGXFUP3VEQ&lt;[DNC9S]5^0:Y_@R;`A2abBOIW&gt;\16LK7Z4J8M=</t>
  </si>
  <si>
    <t>PIc@HUYGFVQ4EWR=D\OCT:6]^1;ZA_S&lt;`B3ab0X?2JM7L85[9KN&gt;</t>
  </si>
  <si>
    <t>b1IQcAVHZGWF5RXES&gt;DJPC;U7]^2&lt;[B_T=`0a4@YK3N89M6\L:?O</t>
  </si>
  <si>
    <t>a5b2IRcBHW[GFX6SYET?DKQCV&lt;8]^3=\0_&gt;U`1AZL4O9:N7JM;P@</t>
  </si>
  <si>
    <t>2`a63bISc0XHG\YF7TEZ@UDLRCW=9]^4J&gt;_1V?[BM5P:;O8K&lt;NAQ</t>
  </si>
  <si>
    <t>W@`37ab4TIc1YHGJZF8U[EVADMSCX&gt;:]5^?K_20\N6Q;&lt;P9LO=BR</t>
  </si>
  <si>
    <t>_3AX`4a85bIU2cHZGK[F9V\EBWDNTC?Y;]^6L@1J7OR&lt;=Q:M&gt;PS0</t>
  </si>
  <si>
    <t>AM_4YB`59a6bVIc3H[LG\F:WJE0XDOCUZ@&lt;]7^K2P8=S&gt;RN;?QT1</t>
  </si>
  <si>
    <t>8^BN5_0Z`6:ab7IW4c\HGMFJ;XEK1YPDVC[A=]L39Q&gt;T?SO&lt;R@U2</t>
  </si>
  <si>
    <t>&gt;]9^0O_6[17`a;b8XI5cHJGNFK&lt;YLEZ2DQCWB\M4:R?UT@P=AS3V</t>
  </si>
  <si>
    <t>4O5PQ67R8S9TU:;VW&lt;X=&gt;YZ?@[A\BJ0K1LM2N3]C_IHaGcF^E`Db</t>
  </si>
  <si>
    <t>U9V:;WX&lt;=Y&gt;Z[?\@AJBK0LM12N3O4P5Q6RS78TEc^DC`Ib]H_GFa</t>
  </si>
  <si>
    <t>&lt;Z[=&gt;\J?@KALBM0N1OP2Q3R4S5T67U8VW9:X;YGbF]E_aDCcI^H`</t>
  </si>
  <si>
    <t>[;&lt;\=J&gt;K?LM@NABO0P1Q2RS3T4U5V6W7X8Y9Z:aIHc^G`FEbD]C_</t>
  </si>
  <si>
    <t>X7Y89Z[:\;J&lt;=K&gt;L?M@NOABPQ0R1S2T3U45V6W`DCb]IH_aGFc^E</t>
  </si>
  <si>
    <t>:\;JK&lt;=L&gt;M?NO@PAQBR01ST2U3V4W56XY7Z8[9F_EaDc^C`IHbG]</t>
  </si>
  <si>
    <t>N=&gt;OP?@QRABS0TU1V23W4X5Y6Z7[\89JK:;LM&lt;^HG`Fb]E_DaCcI</t>
  </si>
  <si>
    <t>0M1N2O3P4Q5R6S7T8U9V:W;X&lt;Y=Z&gt;[?\@]A^B_C`DaEbFcGdHeIfJgKhLi</t>
  </si>
  <si>
    <t>L1203NOQPR6457USTV:8;9WYZX&gt;&lt;=?[]^\@BCA_ab`DFEGecdfHJIKgihM</t>
  </si>
  <si>
    <t>K2Pi04NR6O73QU59WSXT8&lt;ZV:&gt;?;Y]=A[_\`D@b^BFCGeaIEcghdHLfMJ1</t>
  </si>
  <si>
    <t>3JK4Ri60NT829PQW;5YS7=U[V\:@^X&lt;B`Z&gt;D?E]cAGe_CIgabhFLMdH1Of</t>
  </si>
  <si>
    <t>I45JhSTi80VNWO;3Q&lt;ZR&gt;67?]U9A:B`XYaE=[cd\@Hf^g_CKDLMbF1G2eP</t>
  </si>
  <si>
    <t>5HI6TgK8Vi:0NX&lt;2ZP4&gt;R?]SA7_UC9WaE;Yc=Ge[f\J@h^BLM`1DbO3FdQ</t>
  </si>
  <si>
    <t>G6H7I8gVhWL;0&lt;=1[OP\4@A5BS`TaU9E:FXdYeZfJ&gt;?K]iM^_N2C3DbQcR</t>
  </si>
  <si>
    <t>F7G8H9:IJ;K&lt;=L0&gt;?12@3AB4C56DTEUcVdeWXfgYZhi[M\N]^O_PQ`RaSb</t>
  </si>
  <si>
    <t>E8Vc:GXeYfJ=h[i\0@N^_O3CaQRbF6TdHU9IWgK;&lt;LZM&gt;12?P]A4B5`SD7</t>
  </si>
  <si>
    <t>9DE:;F&lt;GZe[f\gh]AL0B1CaObPcQRdH6I78JVKWiXMYN=23&gt;4?5@S^_T`U</t>
  </si>
  <si>
    <t>:CXaE&lt;=Fd[\eI@AJ_h`iD0NbOc3G4HRfgS7K8LVMW12;YPZQ&gt;56?]TU^9B</t>
  </si>
  <si>
    <t>;BY`Za[b\cd]e^_fJCDKLEF0G1H23IQghRSiTMNUOVWPX45&lt;6=7&gt;8?@9:A</t>
  </si>
  <si>
    <t>A&lt;B=C&gt;?D@E^c_d`eafgbKFLGH01IJ2PhQiRMNSTO3849:5;6Y7UZV[W\]X</t>
  </si>
  <si>
    <t>@=A&gt;?B]`^a_bFCGDEHcfgdheLIJ0K1OiPMQN253647RUVSTW8;&lt;9Z:[X\Y</t>
  </si>
  <si>
    <t>&gt;?]\A@^_CB`aEDbcGFdeHIfgJKhi0LMN21PO43RQ65TS87UV:9XW&lt;;YZ[=</t>
  </si>
  <si>
    <t>1iOMNP2435SQRT8679WUXV:&lt;=;[YZ\&gt;@A?]_`^BDECacbdHFGIegfhJLK0</t>
  </si>
  <si>
    <t>2h3LMQ15OSTP48RV:6;7UY=9W[\X&lt;@Z^&gt;B?Ca]EA_c`dHDfbFJKGeiI0gN</t>
  </si>
  <si>
    <t>g3hQ5LSM17UOPV4:XR&lt;6TZ8&gt;9?W]A;Y_C=[a\b@F^dHB`fJDEKci0GeN2I</t>
  </si>
  <si>
    <t>4fRgK67LUM91:2XPYQ=5[ST\@8V^W_C;&lt;DbZ&gt;FG?]eIAJB`hai0EcNdOH3</t>
  </si>
  <si>
    <t>e5fS7JhU9LWM1;YO=3Q[\R@6^TB8`V:DbX&lt;FZdH&gt;I?g]KA_i0CNaE2PcG4</t>
  </si>
  <si>
    <t>6deTfUJ9K:iXMYZN&gt;23?Q]^RS_C7D8VbWc;G&lt;H=Ig[\h@L0AB1O`PaE4F5</t>
  </si>
  <si>
    <t>7cdUeVWfgXhYZiM[\NO]P^_Q`RSabT8F9GH:;IJ&lt;=KL&gt;0?1@A2B34C5D6E</t>
  </si>
  <si>
    <t>8b9FWd;H&lt;IgZK&gt;L?M]1AB2P`D45EcS7GUeVf:JhXYi=0[NO\3@^Q_RC6aT</t>
  </si>
  <si>
    <t>a9bWXcYd=H&gt;I?JK@^iM_N`D2E3F45GeSfTUghV:L;0&lt;1ZOP[Q\R]6AB7C8</t>
  </si>
  <si>
    <t>`:;DbYZcG&gt;?Hf]^gBKCLaM1E2FPdQe5IJ6ThUi90NWOX&lt;3=4[RS\@78AV_</t>
  </si>
  <si>
    <t>_;&lt;C=D&gt;E?FG@HABIg`ahibcMdNeOPf4JK56L701829:3QXRYSZT[U\]VW^</t>
  </si>
  <si>
    <t>&lt;^_Z`[\a]bAFBGCHDIJEhcideMNfgO3K4L501672PUQVWRXSTY8=9&gt;:?@;</t>
  </si>
  <si>
    <t>=]^[\_@CADBEc`dabeFIJGKHifgMhN2L3041ORPSQT58967:UXYVWZ&gt;;?&lt;</t>
  </si>
  <si>
    <t>\&gt;@?^]AB`_CDbaEFdcGHefIJghKLMi01ON32QP54SR76UT89WV;:YX&lt;=Z[</t>
  </si>
  <si>
    <t>iNM2134O5PQ67RS89TU:V;&lt;WX=Y&gt;?Z@[\AB]^CD_`EFaGbcHIdJeKfLg0h</t>
  </si>
  <si>
    <t>hOi34M5N26P78Q9RS:T;&lt;UV=&gt;WX?@YAZB[C\]D^EF_G`aHbIJcdKLe0f1g</t>
  </si>
  <si>
    <t>Pg4hi5M67NO839:QR;S&lt;=T&gt;U?V@WXABYZCD[E\F]G^_HI`aJKbLcd01ef2</t>
  </si>
  <si>
    <t>fQg56hi7M8N9O:P;&lt;4R=S&gt;?TU@AVBWXCDYZEF[\GH]^I_JK`Lab01c2d3e</t>
  </si>
  <si>
    <t>Re6fg78hi9M:;NO&lt;P=&gt;Q?5S@TAUBVCDWXEFYGZ[H\I]J^KL_`0a12bc34d</t>
  </si>
  <si>
    <t>dS7e8f9g:h;i&lt;MN=O&gt;?P@QRA6BTCUDEVFWGXHYIZ[JK\L]^01_`2a34b5c</t>
  </si>
  <si>
    <t>cT8d9ef:;g&lt;hi=&gt;MN?@OAPQBRCDSE7FUGVWHIXYJKZ[L\0]12^3_`4a5b6</t>
  </si>
  <si>
    <t>bUc9d:e;f&lt;=g&gt;h?i@MANOBCPQDERSFGT8HIVJWXKLY0Z1[\2]34^5_6`7a</t>
  </si>
  <si>
    <t>Va:bc;d&lt;e=f&gt;g?@hiABMCNODPEQFGRSHTIJUK9LW0X1Y2Z[3\4]5^67_8`</t>
  </si>
  <si>
    <t>W`a;&lt;bc=&gt;de?@fgAhBiCMDENFOGPHQIRSJKTLU0V1:X23Y4Z5[\67]^8_9</t>
  </si>
  <si>
    <t>X_`&lt;a=b&gt;c?@dAefBCghDEiMFNGOHIPJQRKLS0TU1V23W4;Y5Z6[7\89]^:</t>
  </si>
  <si>
    <t>^Y=_&gt;`a?b@cAdBeCfDEgFhGiMHINOJKPLQ0RS12TU3V45W6X7&lt;Z8[9\:;]</t>
  </si>
  <si>
    <t>]Z&gt;^_?`@aAbBCcDdeEfFGgHhIiMJNKLO0P1QR2S3T4U56VW7X89Y:=;[&lt;\</t>
  </si>
  <si>
    <t>[\?]@^_AB`aCDbcEFdeGfHgIhJiKLMN01O2P3Q4R5S6T7UV89W:X;YZ&lt;=&gt;</t>
  </si>
  <si>
    <t>NL0OP1Q2R34ST56UV78W9XY:;Z&lt;[\=]&gt;?^_@A`aBCbcDdEFefGgHhIiJMK</t>
  </si>
  <si>
    <t>OKLPQ0R1S23TU4V56W7XY89Z[:;\]&lt;^=_&gt;`?@aAbcBdCDeEfgFGhiHMINJ</t>
  </si>
  <si>
    <t>JPQKLR0ST12UV3W45X6YZ7[8\9]:;^_&lt;=`a&gt;b?c@dABefCDghEiFGMNHIO</t>
  </si>
  <si>
    <t>QIJRSKLT0U1V2W3X4Y5Z6[\78]^9_:;`a&lt;=bc&gt;?de@AfBghCiDEMNFOGPH</t>
  </si>
  <si>
    <t>HRSIJTUKLV0WX12Y3Z[45\6]7^8_9`a:;bc&lt;d=&gt;e?f@gAhiBCMDNOEFPQG</t>
  </si>
  <si>
    <t>SGTHUIVJWKXLY01Z2[\3]45^_67`8ab9c:d;e&lt;f=&gt;gh?i@AMNBCODPQERF</t>
  </si>
  <si>
    <t>TFUGVHIWXJYKLZ[01\]2^34_5`a67bc8d9:ef;&lt;gh=&gt;i?M@NOAPBCQDRES</t>
  </si>
  <si>
    <t>UEFVGWHXIYZJ[K\L]0^12_`34ab56cd7e8f9g:;hi&lt;M=N&gt;?O@PQARBSCTD</t>
  </si>
  <si>
    <t>DVWEFXGYHZI[J\]KL^_0`12a3b4cd56e7fg89hi:M;N&lt;O=&gt;P?Q@RASTBUC</t>
  </si>
  <si>
    <t>CWDXYEFZ[GH\]IJ^K_L`0ab1c2d3e4f56gh7i8M9:N;OP&lt;Q=R&gt;?ST@AUBV</t>
  </si>
  <si>
    <t>BXCYDZE[F\]G^HI_`JKabL0c1d2ef3g45hi6M78N9OP:;Q&lt;R=S&gt;T?UV@AW</t>
  </si>
  <si>
    <t>YAZB[CD\E]F^G_H`IabJcKdL0ef12gh3i4M56NO78P9QR:S;&lt;T=U&gt;V?WX@</t>
  </si>
  <si>
    <t>Z@[AB\C]D^E_`FaGHbIcdJeKfL0g1hi2M3N45O6P7Q8RS9:T;UV&lt;=WX&gt;Y?</t>
  </si>
  <si>
    <t>?[\@]AB^_CD`aEFbcGHdIeJfKgLhi01MN2O3P4Q5R6S7T89UV:W;X&lt;=Y&gt;Z</t>
  </si>
  <si>
    <t>cbhmaflojk`eingdSRX]QV_\[ZUPY^WTBCMHAFLOJKE@INDG238=16&lt;?;:05&gt;947</t>
  </si>
  <si>
    <t>edikohbfmlac`gjnTUY[_XRV\]QSPW^ZDEKIHOFBLMACG@JN45;9?826=&lt;3107&gt;:</t>
  </si>
  <si>
    <t>`aljkngehibdcfmoPQ\Z^[UWYXTRVS_]@ALJKNEGHIBDFCMO01:&lt;;&gt;75984236=?</t>
  </si>
  <si>
    <t>fgce`djinomklhabWVSUTPYZ^_][X\RQFGEC@DJINOKMHLAB673540:9?&gt;;=&lt;821</t>
  </si>
  <si>
    <t>klagbenhcdiojmf`\[QWUR^XTS_YZ]PVLKAGEBHNCDOIJMF@&lt;;17258&gt;349?:=06</t>
  </si>
  <si>
    <t>mnb`cgadfejhokli]^PRSWQTVUXZ[_Y\MN@BGCADFEHJKOIL&gt;=203714568:;?&lt;9</t>
  </si>
  <si>
    <t>ojdfmic`gbnlaehk_ZVTY]SPRW\^QUX[OJFDIM@CGBNLAEKH:?64=93072&lt;&gt;158;</t>
  </si>
  <si>
    <t>XPZS\V^UW[TYQ_]R`hcjlfnegkidoamb083:6&lt;5&gt;;7491?2=@HJCFLENKGIDOAMB</t>
  </si>
  <si>
    <t>[RYQ_T]WUXZVS\P^kbiadomghefjlcn`2;194?7=58:63&lt;0&gt;KBAIDOGMHEFJCL@N</t>
  </si>
  <si>
    <t>^T\WZRXQS]P_UY[Vdnglbjahmc`oeikf4&gt;&lt;7:281=30?95;6DNGLBJHACMO@EIKF</t>
  </si>
  <si>
    <t>]V_UYP[SQ^R\ZWTXfmeoi`ckanlbjgdh6=?590;31&gt;2&lt;:784MFEOI@CKNABLJGDH</t>
  </si>
  <si>
    <t>_SP]U[YVT\^WRXZQocm`keifldgnhbaj3?=0;569&lt;47&gt;82:1OC@MEKFIDLNGHBAJ</t>
  </si>
  <si>
    <t>\Q^RXWTZV_]UP[YSalbnhgdjfome`kci1&lt;&gt;278:4?65=;093ALNBHGDJOFEMK@IC</t>
  </si>
  <si>
    <t>WY[T]QR_PZSXV^U\igkdmaobj`chfnel794;1=2?:0836&gt;5&lt;GIKDMABO@JHCNFLE</t>
  </si>
  <si>
    <t>ZUVXS^\PRYQ[T]W_ejhfcn`lbiakdmog5:683&gt;0&lt;92;14=7?EJFHCNL@BIKADMGO</t>
  </si>
  <si>
    <t>0@3B6D5F&lt;HJ?:L9N;C8AG=E&gt;7K4IO12MP`bSdVUf\h_jZlYn[cXa]g^eWkTiQoRm</t>
  </si>
  <si>
    <t>2C1A4G7E&gt;K=I8OM;@9B:?DF&lt;5HJ63LN0RcQagTeW^ki]Xo[m`YZb_df\UhVjSlPn</t>
  </si>
  <si>
    <t>4F7D2B1@8N;LJ&gt;=H?E&lt;G9A:CM30O5I6KTfdWbRQ`Xn[lj^]he_\gYaZcSmoPiUVk</t>
  </si>
  <si>
    <t>6E5G0A3C:M9O&lt;IK?=F&gt;DB;8@1NL27JH4VeUgPacSZmoYi\k_f]d^b[X`QnRljWhT</t>
  </si>
  <si>
    <t>L8N;H&gt;=JD47F@21BO30M5K6IG?&lt;EC9:AlX[nh^j]dTWfR`QboSPmkUiV_ge\YcZa</t>
  </si>
  <si>
    <t>O:9M&lt;KI?G65EC03A1LN2H7J4=DF&gt;;@8BoZmYk\i_VgUecPSalQnRhWjT]d^f`[bX</t>
  </si>
  <si>
    <t>J&lt;?H:NL9B0@3F6D57I4K1MO2A;8C=E&gt;G\j_hZnlYbP`SVfdUiWTkQmoR[acXe]^g</t>
  </si>
  <si>
    <t>&gt;IK=M8;OA2C1E4G7J5H63N0L9B:@?FD&lt;i^]kXm[oaRQceTgWjUhVSnPlYbZ`f_\d</t>
  </si>
  <si>
    <t>K3I05O6MC?A&lt;G9:E8H;JL&gt;N=@47BD21FSkiPUomV_ca\YgZehX[jl^n]T`bWdRQf</t>
  </si>
  <si>
    <t>H1J27L4N=@B&gt;D;F8:KI9O&lt;M?6CA50GE3QhjRlWTn]`b^[dXfkZiYo\m_cVUagPeS</t>
  </si>
  <si>
    <t>M7O4I12KE;8GA=C&gt;&lt;NL?:J9HF0D36B@5WmToQiRk[eXga]c^n\l_jZhYPfdSbV`U</t>
  </si>
  <si>
    <t>N56LJ3H0F9:DB?&lt;@M&gt;O=I8;K2EG1A47CUnVlSjPhYfZdb_`\m^o]Xik[RegQTaWc</t>
  </si>
  <si>
    <t>;G8E=CA&gt;7O4MK12ID0F36@B5L&lt;?NH:9Jg[eXc]a^WomTQkRiPdfSV`Ubl\_nZhYj</t>
  </si>
  <si>
    <t>D9:F@?&lt;BL56NH3J0G21EC4A7&gt;OM=K8I;dYfZ`_b\lUVnShPjgRQeTcWa^om]Xk[i</t>
  </si>
  <si>
    <t>?AC&lt;9EG:3IK05M6O4B@72F1D8JH;&gt;N=La_\cYeZgSiPkmUoVTbW`RfdQXj[h^n]l</t>
  </si>
  <si>
    <t>=B&gt;@F;8DJ12H7NL46AC5E03GI:9K&lt;MO?b]^`[fXdjQRhnWlTaVUcePSgiZYkm\o_</t>
  </si>
  <si>
    <t>P0R3T6V5X&lt;?Z\:^9H`KbNdfMDhjGBlAnEUWFCQS@I]J_OYL[=eg&gt;a;c8m12o7ik4</t>
  </si>
  <si>
    <t>S2Q1W4U7[&gt;Y=_8;]cJaIgLeOkFEi@oCmGVDTRABPK^\HMZNX?f&lt;d9b`:n3l05j6h</t>
  </si>
  <si>
    <t>V4T7R2P1^8\;&gt;ZX=LfdOJbI`n@ClFjhEASBQWGDUM[YN_KH]c9a:g?e&lt;k5i6o3m0</t>
  </si>
  <si>
    <t>U6W5Q0S3]:_9Y&lt;?[NeMgaHKcBmoAiDGkCPR@TEVFOXLZ\I^J;`b8d=&gt;fh7j4l1n2</t>
  </si>
  <si>
    <t>8\;^&gt;XZ=4TV72PR1l@nCFhjEdLOfJ`bIYMN[]K_HQASBUGWD5ik6m30oa9:c?eg&lt;</t>
  </si>
  <si>
    <t>:_]9[&lt;?Y6WU50SQ3BoAmDkGiNgeMcHKaZOXL^I\JRC@PEVTF7j4hn1l2b;`8=fd&gt;</t>
  </si>
  <si>
    <t>&lt;ZX?^:9\0R3P6V5TjDGhnBlAHbK`NfMd_IJ]O[YLEWFUCS@Q1om27k4ig=&gt;ec;a8</t>
  </si>
  <si>
    <t>Y&gt;=[8]_;2Q1S4U7WFiEk@mCoJaIcLegOK\H^MXNZTGDVPABR3l0n5h6jd?f&lt;9`:b</t>
  </si>
  <si>
    <t>@hjClFEn`LObdJIfX8Z;&gt;\=^4PR72TV1m5o6i3k0e9g:?a&lt;c]M_NKY[HAUWBGQSD</t>
  </si>
  <si>
    <t>BkAiDomGNcMagHeK[:9Y&lt;_?]S65QW03Un7l4j1h2f;d8=b&gt;`^OL\ZIJXVC@TREFP</t>
  </si>
  <si>
    <t>nDGlBjhAHfdKNb`M^&lt;?\Z:X90V3TR65Pk12io74mc=&gt;ag;e8I[YJO_]LESQFWCU@</t>
  </si>
  <si>
    <t>FmEoi@CkeJIgLaOc&gt;]=_8Y[;U21W4QS7h30j5ln6`?&lt;bd9f:XKHZ\MN^GPDRATBV</t>
  </si>
  <si>
    <t>dHfKN`MblDGnhBAj0T3VP65R&lt;\^?:XZ9=ac&gt;e;g8i1k27m4oQESFUC@WIYJ[]O_L</t>
  </si>
  <si>
    <t>gJeILcOaoFEmk@iC2WU14S7Q_&gt;=]8[;Y?b`&lt;f9d:3jh05n6lRGDPAVTBZKXHM^N\</t>
  </si>
  <si>
    <t>bL`OfJdI@jhCnFElR47PV2T1Z8;X^&gt;\=9g:e?c&lt;ao56mk3i0WABUGSQDM_]N[KHY</t>
  </si>
  <si>
    <t>aNMceHKgiBkAmDoGQ65S0UW3:Y[9]&lt;?_;d8f=`&gt;b7ln4h1j2CTV@PERF\OL^IXJZ</t>
  </si>
  <si>
    <t>5eg63a0c9mo:?ik&lt;UMWNKQHS]AB_GY[D`@CbFdfEhLjOlJnI8PR;&gt;TV=4X7Z\21^</t>
  </si>
  <si>
    <t>7f4d1b`2;nl8=j&gt;hVOTLRIPJC^@\EZFXcBaADgGekNMioHmKS:9QW&lt;?U6[5Y_03]</t>
  </si>
  <si>
    <t>1c2ag7e4k=&gt;i;o8mISJQWOLUE[YF_C]@fDGdBb`AnHlKNjhMV&lt;?T:R9P0^\36ZX5</t>
  </si>
  <si>
    <t>3`0bd5f6?h&lt;j9ln:KPRHMTVNXGZD\AB^eFgEa@CcmJIoLiOkU&gt;=W8Q;S2]1_4Y7[</t>
  </si>
  <si>
    <t>i=k&gt;;mo81ac2e74gEY[F]C@_QISJUOLWHlnKNhMjDdfG`BbA\0^36X5Z&lt;T?VP:9R</t>
  </si>
  <si>
    <t>j?&lt;hn9:lb30`f5d6ZGDXA^\BKRPHMVTNJoImLkOigFeE@caC_2]1[4Y7&gt;W=U8S;Q</t>
  </si>
  <si>
    <t>9om:?ki&lt;5ge63c0aA_]B[GDYWMNUSKQHjLhOnJIl@bC`fFEdZ47X^2\18RP;V&gt;T=</t>
  </si>
  <si>
    <t>l;n8h=&gt;jd7f41`b2C\^@XEZFOTVLIPJRNikMmHoKBacADeGgY65[0]_3:QS9U&lt;?W</t>
  </si>
  <si>
    <t>E]F_CY@[IUWJOQSLm=o&gt;;ik8e12ga74cX0Z3\6^5P&lt;?RT:V9HhjKNlMn`DGbBdfA</t>
  </si>
  <si>
    <t>G^D\AZBXKVHTMRNPn?l&lt;j9h:3fd0b5`6[2Y1_4]7&gt;S=QW8U;JkIiLoOmFcaE@gCe</t>
  </si>
  <si>
    <t>A[BYG_D]MSNQWKHU9k:io?&lt;mc56ag30e^47\2Z1X8VT;&gt;R=PLnOlJjIhf@CdFbE`</t>
  </si>
  <si>
    <t>CX@ZE\F^OPLRITVJh;j8=l&gt;n`7b41df2]65_0Y3[U:9W&lt;Q?SNmMoiHKkeBAgaDcG</t>
  </si>
  <si>
    <t>QMSNKUWHYA[B]G_D5a6ce3g0i9k:m?&lt;o8T;V&gt;P=R4\^72X1Zd@Cf`FbELlnOhJjI</t>
  </si>
  <si>
    <t>ROLPVIJTZCX@^E\Fb7`4f12d;jh8n=l&gt;:W9U&lt;S?Q6_]50[3YBgeAcDaGoNMmkHiK</t>
  </si>
  <si>
    <t>IWUJOSQL_EF][C@Yg12e7c4ao=&gt;mk;i8&lt;RP?V:9T0Z3X^6\5bD`GfBAdjHhKnNlM</t>
  </si>
  <si>
    <t>TKHVPMNR\GD^XABZ3df0`5b6?ln&lt;9hj:&gt;QS=8UW;2Y1[]4_7FacE@egCJikILmOo</t>
  </si>
  <si>
    <t>This workbook uses macros.  If you are reading this message then it is likely that macros are disabled.  Review your settings under File/Options/TrustCenter, then choose TrustCenterSettings/MacroSettings.</t>
  </si>
  <si>
    <t>court 1</t>
  </si>
  <si>
    <t>court 2</t>
  </si>
  <si>
    <t>court 3</t>
  </si>
  <si>
    <t>(D F)</t>
  </si>
  <si>
    <t>(C A)</t>
  </si>
  <si>
    <t>(E C)</t>
  </si>
  <si>
    <t>(D A)</t>
  </si>
  <si>
    <t>(C B)</t>
  </si>
  <si>
    <t>(A F)</t>
  </si>
  <si>
    <t>(A E)</t>
  </si>
  <si>
    <t>(D B)</t>
  </si>
  <si>
    <t>(F C)</t>
  </si>
  <si>
    <t>(B A)</t>
  </si>
  <si>
    <t>(F E)</t>
  </si>
  <si>
    <t>(C D)</t>
  </si>
  <si>
    <t>D</t>
  </si>
  <si>
    <t>F</t>
  </si>
  <si>
    <t>E</t>
  </si>
  <si>
    <t>A</t>
  </si>
  <si>
    <t>C</t>
  </si>
  <si>
    <t>B</t>
  </si>
  <si>
    <t>(D E)</t>
  </si>
  <si>
    <t>(F A)</t>
  </si>
  <si>
    <t>(E F)</t>
  </si>
  <si>
    <t>byes</t>
  </si>
  <si>
    <t>(G F)</t>
  </si>
  <si>
    <t>(F D)</t>
  </si>
  <si>
    <t>(G B)</t>
  </si>
  <si>
    <t>(D G)</t>
  </si>
  <si>
    <t>(A C)</t>
  </si>
  <si>
    <t>(E G)</t>
  </si>
  <si>
    <t>(E A)</t>
  </si>
  <si>
    <t>(B D)</t>
  </si>
  <si>
    <t>G</t>
  </si>
  <si>
    <t>court 4</t>
  </si>
  <si>
    <t>(F H)</t>
  </si>
  <si>
    <t>(A H)</t>
  </si>
  <si>
    <t>(H G)</t>
  </si>
  <si>
    <t>(B G)</t>
  </si>
  <si>
    <t>(C H)</t>
  </si>
  <si>
    <t>(F B)</t>
  </si>
  <si>
    <t>(H D)</t>
  </si>
  <si>
    <t>(B H)</t>
  </si>
  <si>
    <t>(H E)</t>
  </si>
  <si>
    <t>(E H)</t>
  </si>
  <si>
    <t>(I C)</t>
  </si>
  <si>
    <t>(A G)</t>
  </si>
  <si>
    <t>(H I)</t>
  </si>
  <si>
    <t>(A I)</t>
  </si>
  <si>
    <t>(I F)</t>
  </si>
  <si>
    <t>(G D)</t>
  </si>
  <si>
    <t>(B E)</t>
  </si>
  <si>
    <t>(I D)</t>
  </si>
  <si>
    <t>(E I)</t>
  </si>
  <si>
    <t>(H A)</t>
  </si>
  <si>
    <t>(G C)</t>
  </si>
  <si>
    <t>I</t>
  </si>
  <si>
    <t>H</t>
  </si>
  <si>
    <t>court 5</t>
  </si>
  <si>
    <t>(J I)</t>
  </si>
  <si>
    <t>(H B)</t>
  </si>
  <si>
    <t>(E J)</t>
  </si>
  <si>
    <t>(I B)</t>
  </si>
  <si>
    <t>(H C)</t>
  </si>
  <si>
    <t>(J A)</t>
  </si>
  <si>
    <t>(J G)</t>
  </si>
  <si>
    <t>(D J)</t>
  </si>
  <si>
    <t>(G H)</t>
  </si>
  <si>
    <t>(C F)</t>
  </si>
  <si>
    <t>(B J)</t>
  </si>
  <si>
    <t>(J H)</t>
  </si>
  <si>
    <t>(G I)</t>
  </si>
  <si>
    <t>(I K)</t>
  </si>
  <si>
    <t>(K B)</t>
  </si>
  <si>
    <t>(C K)</t>
  </si>
  <si>
    <t>(J B)</t>
  </si>
  <si>
    <t>(H J)</t>
  </si>
  <si>
    <t>(C I)</t>
  </si>
  <si>
    <t>(F I)</t>
  </si>
  <si>
    <t>(K E)</t>
  </si>
  <si>
    <t>(I A)</t>
  </si>
  <si>
    <t>(J K)</t>
  </si>
  <si>
    <t>(K F)</t>
  </si>
  <si>
    <t>K</t>
  </si>
  <si>
    <t>J</t>
  </si>
  <si>
    <t>(A J)</t>
  </si>
  <si>
    <t>(I H)</t>
  </si>
  <si>
    <t>(J F)</t>
  </si>
  <si>
    <t>(J C)</t>
  </si>
  <si>
    <t>(G J)</t>
  </si>
  <si>
    <t>(D H)</t>
  </si>
  <si>
    <t>(K D)</t>
  </si>
  <si>
    <t>(K A)</t>
  </si>
  <si>
    <t>(J E)</t>
  </si>
  <si>
    <t>(G K)</t>
  </si>
  <si>
    <t>(H K)</t>
  </si>
  <si>
    <t>(I J)</t>
  </si>
  <si>
    <t>group A teams (G I)</t>
  </si>
  <si>
    <t>group E teams (J I)</t>
  </si>
  <si>
    <t>group E teams (F E)</t>
  </si>
  <si>
    <t>group E teams (H K)</t>
  </si>
  <si>
    <t>group E teams (G C)</t>
  </si>
  <si>
    <t>group E teams (D A)</t>
  </si>
  <si>
    <t>group E teams (H C)</t>
  </si>
  <si>
    <t>group E teams (K A)</t>
  </si>
  <si>
    <t>group E teams (E I)</t>
  </si>
  <si>
    <t>group E teams (J G)</t>
  </si>
  <si>
    <t>group E teams (F B)</t>
  </si>
  <si>
    <t>group E teams (B H)</t>
  </si>
  <si>
    <t>group E teams (G F)</t>
  </si>
  <si>
    <t>group E teams (D J)</t>
  </si>
  <si>
    <t>group E teams (A E)</t>
  </si>
  <si>
    <t>group E teams (C K)</t>
  </si>
  <si>
    <t>group E teams (D E)</t>
  </si>
  <si>
    <t>group E teams (J K)</t>
  </si>
  <si>
    <t>group E teams (F H)</t>
  </si>
  <si>
    <t>group E teams (B A)</t>
  </si>
  <si>
    <t>group E teams (G I)</t>
  </si>
  <si>
    <t>group E teams (K B)</t>
  </si>
  <si>
    <t>group E teams (E C)</t>
  </si>
  <si>
    <t>group E teams (I A)</t>
  </si>
  <si>
    <t>group E teams (F D)</t>
  </si>
  <si>
    <t>group E teams (H G)</t>
  </si>
  <si>
    <t>group E teams (I D)</t>
  </si>
  <si>
    <t>group E teams (A G)</t>
  </si>
  <si>
    <t>group E teams (C B)</t>
  </si>
  <si>
    <t>group E teams (K F)</t>
  </si>
  <si>
    <t>group E teams (E J)</t>
  </si>
  <si>
    <t>group E teams (A J)</t>
  </si>
  <si>
    <t>group E teams (C D)</t>
  </si>
  <si>
    <t>group E teams (B G)</t>
  </si>
  <si>
    <t>group E teams (E H)</t>
  </si>
  <si>
    <t>group E teams (I F)</t>
  </si>
  <si>
    <t>group E teams (F A)</t>
  </si>
  <si>
    <t>group E teams (H I)</t>
  </si>
  <si>
    <t>group E teams (K E)</t>
  </si>
  <si>
    <t>group E teams (D B)</t>
  </si>
  <si>
    <t>group E teams (J C)</t>
  </si>
  <si>
    <t>group E teams (G K)</t>
  </si>
  <si>
    <t>group E teams (D H)</t>
  </si>
  <si>
    <t>group E teams (J F)</t>
  </si>
  <si>
    <t>group E teams (C I)</t>
  </si>
  <si>
    <t>group E teams (B E)</t>
  </si>
  <si>
    <t>group E teams (C F)</t>
  </si>
  <si>
    <t>group E teams (B J)</t>
  </si>
  <si>
    <t>group E teams (G D)</t>
  </si>
  <si>
    <t>group E teams (I K)</t>
  </si>
  <si>
    <t>group E teams (A H)</t>
  </si>
  <si>
    <t>group E teams (E G)</t>
  </si>
  <si>
    <t>group E teams (I B)</t>
  </si>
  <si>
    <t>group E teams (A C)</t>
  </si>
  <si>
    <t>group E teams (H J)</t>
  </si>
  <si>
    <t>group E teams (K D)</t>
  </si>
  <si>
    <t>group A teams (C B)</t>
  </si>
  <si>
    <t>group A teams (D A)</t>
  </si>
  <si>
    <t>group A teams (J H)</t>
  </si>
  <si>
    <t>group A teams (E F)</t>
  </si>
  <si>
    <t>group A teams (A G)</t>
  </si>
  <si>
    <t>group A teams (E J)</t>
  </si>
  <si>
    <t>group A teams (I D)</t>
  </si>
  <si>
    <t>group A teams (H B)</t>
  </si>
  <si>
    <t>group A teams (F C)</t>
  </si>
  <si>
    <t>group A teams (J F)</t>
  </si>
  <si>
    <t>group A teams (H D)</t>
  </si>
  <si>
    <t>group A teams (E G)</t>
  </si>
  <si>
    <t>group A teams (C A)</t>
  </si>
  <si>
    <t>group A teams (I B)</t>
  </si>
  <si>
    <t>group A teams (D J)</t>
  </si>
  <si>
    <t>group A teams (F H)</t>
  </si>
  <si>
    <t>group A teams (G C)</t>
  </si>
  <si>
    <t>group A teams (E I)</t>
  </si>
  <si>
    <t>group A teams (B A)</t>
  </si>
  <si>
    <t>group A teams (F B)</t>
  </si>
  <si>
    <t>group A teams (D G)</t>
  </si>
  <si>
    <t>group A teams (H E)</t>
  </si>
  <si>
    <t>group A teams (I C)</t>
  </si>
  <si>
    <t>group A teams (A J)</t>
  </si>
  <si>
    <t>group A teams (I H)</t>
  </si>
  <si>
    <t>group A teams (B E)</t>
  </si>
  <si>
    <t>group A teams (A F)</t>
  </si>
  <si>
    <t>group A teams (G J)</t>
  </si>
  <si>
    <t>group A teams (C D)</t>
  </si>
  <si>
    <t>group A teams (B D)</t>
  </si>
  <si>
    <t>group A teams (G F)</t>
  </si>
  <si>
    <t>group A teams (C H)</t>
  </si>
  <si>
    <t>group A teams (A E)</t>
  </si>
  <si>
    <t>group A teams (J I)</t>
  </si>
  <si>
    <t>group A teams (H A)</t>
  </si>
  <si>
    <t>group A teams (J C)</t>
  </si>
  <si>
    <t>group A teams (F I)</t>
  </si>
  <si>
    <t>group A teams (B G)</t>
  </si>
  <si>
    <t>group A teams (D E)</t>
  </si>
  <si>
    <t>group A teams (E C)</t>
  </si>
  <si>
    <t>group A teams (A I)</t>
  </si>
  <si>
    <t>group A teams (J B)</t>
  </si>
  <si>
    <t>group A teams (F D)</t>
  </si>
  <si>
    <t>group A teams (G H)</t>
  </si>
  <si>
    <t>group B teams (G I)</t>
  </si>
  <si>
    <t>group B teams (C B)</t>
  </si>
  <si>
    <t>group B teams (D A)</t>
  </si>
  <si>
    <t>group B teams (J H)</t>
  </si>
  <si>
    <t>group B teams (E F)</t>
  </si>
  <si>
    <t>group B teams (A G)</t>
  </si>
  <si>
    <t>group B teams (E J)</t>
  </si>
  <si>
    <t>group B teams (I D)</t>
  </si>
  <si>
    <t>group B teams (H B)</t>
  </si>
  <si>
    <t>group B teams (F C)</t>
  </si>
  <si>
    <t>group B teams (J F)</t>
  </si>
  <si>
    <t>group B teams (H D)</t>
  </si>
  <si>
    <t>group B teams (E G)</t>
  </si>
  <si>
    <t>group B teams (C A)</t>
  </si>
  <si>
    <t>group B teams (I B)</t>
  </si>
  <si>
    <t>group B teams (D J)</t>
  </si>
  <si>
    <t>group B teams (F H)</t>
  </si>
  <si>
    <t>group B teams (G C)</t>
  </si>
  <si>
    <t>group B teams (E I)</t>
  </si>
  <si>
    <t>group B teams (B A)</t>
  </si>
  <si>
    <t>group B teams (F B)</t>
  </si>
  <si>
    <t>group B teams (D G)</t>
  </si>
  <si>
    <t>group B teams (H E)</t>
  </si>
  <si>
    <t>group B teams (I C)</t>
  </si>
  <si>
    <t>group B teams (A J)</t>
  </si>
  <si>
    <t>group B teams (I H)</t>
  </si>
  <si>
    <t>group B teams (B E)</t>
  </si>
  <si>
    <t>group B teams (A F)</t>
  </si>
  <si>
    <t>group B teams (G J)</t>
  </si>
  <si>
    <t>group B teams (C D)</t>
  </si>
  <si>
    <t>group B teams (B D)</t>
  </si>
  <si>
    <t>group B teams (G F)</t>
  </si>
  <si>
    <t>group B teams (C H)</t>
  </si>
  <si>
    <t>group B teams (A E)</t>
  </si>
  <si>
    <t>group B teams (J I)</t>
  </si>
  <si>
    <t>group B teams (H A)</t>
  </si>
  <si>
    <t>group B teams (J C)</t>
  </si>
  <si>
    <t>group B teams (F I)</t>
  </si>
  <si>
    <t>group B teams (B G)</t>
  </si>
  <si>
    <t>group B teams (D E)</t>
  </si>
  <si>
    <t>group B teams (E C)</t>
  </si>
  <si>
    <t>group B teams (A I)</t>
  </si>
  <si>
    <t>group B teams (J B)</t>
  </si>
  <si>
    <t>group B teams (F D)</t>
  </si>
  <si>
    <t>group B teams (G H)</t>
  </si>
  <si>
    <t>group C teams (G I)</t>
  </si>
  <si>
    <t>group C teams (C B)</t>
  </si>
  <si>
    <t>group C teams (D A)</t>
  </si>
  <si>
    <t>group C teams (J H)</t>
  </si>
  <si>
    <t>group C teams (E F)</t>
  </si>
  <si>
    <t>group C teams (A G)</t>
  </si>
  <si>
    <t>group C teams (E J)</t>
  </si>
  <si>
    <t>group C teams (I D)</t>
  </si>
  <si>
    <t>group C teams (H B)</t>
  </si>
  <si>
    <t>group C teams (F C)</t>
  </si>
  <si>
    <t>group C teams (J F)</t>
  </si>
  <si>
    <t>group C teams (H D)</t>
  </si>
  <si>
    <t>group C teams (E G)</t>
  </si>
  <si>
    <t>group C teams (C A)</t>
  </si>
  <si>
    <t>group C teams (I B)</t>
  </si>
  <si>
    <t>group C teams (D J)</t>
  </si>
  <si>
    <t>group C teams (F H)</t>
  </si>
  <si>
    <t>group C teams (G C)</t>
  </si>
  <si>
    <t>group C teams (E I)</t>
  </si>
  <si>
    <t>group C teams (B A)</t>
  </si>
  <si>
    <t>group C teams (F B)</t>
  </si>
  <si>
    <t>group C teams (D G)</t>
  </si>
  <si>
    <t>group C teams (H E)</t>
  </si>
  <si>
    <t>group C teams (I C)</t>
  </si>
  <si>
    <t>group C teams (A J)</t>
  </si>
  <si>
    <t>group C teams (I H)</t>
  </si>
  <si>
    <t>group C teams (B E)</t>
  </si>
  <si>
    <t>group C teams (A F)</t>
  </si>
  <si>
    <t>group C teams (G J)</t>
  </si>
  <si>
    <t>group C teams (C D)</t>
  </si>
  <si>
    <t>group C teams (B D)</t>
  </si>
  <si>
    <t>group C teams (G F)</t>
  </si>
  <si>
    <t>group C teams (C H)</t>
  </si>
  <si>
    <t>group C teams (A E)</t>
  </si>
  <si>
    <t>group C teams (J I)</t>
  </si>
  <si>
    <t>group C teams (H A)</t>
  </si>
  <si>
    <t>group C teams (J C)</t>
  </si>
  <si>
    <t>group C teams (F I)</t>
  </si>
  <si>
    <t>group C teams (B G)</t>
  </si>
  <si>
    <t>group C teams (D E)</t>
  </si>
  <si>
    <t>group C teams (E C)</t>
  </si>
  <si>
    <t>group C teams (A I)</t>
  </si>
  <si>
    <t>group C teams (J B)</t>
  </si>
  <si>
    <t>group C teams (F D)</t>
  </si>
  <si>
    <t>group C teams (G H)</t>
  </si>
  <si>
    <t>group D teams (G I)</t>
  </si>
  <si>
    <t>group D teams (C B)</t>
  </si>
  <si>
    <t>group D teams (D A)</t>
  </si>
  <si>
    <t>group D teams (J H)</t>
  </si>
  <si>
    <t>group D teams (E F)</t>
  </si>
  <si>
    <t>group D teams (A G)</t>
  </si>
  <si>
    <t>group D teams (E J)</t>
  </si>
  <si>
    <t>group D teams (I D)</t>
  </si>
  <si>
    <t>group D teams (H B)</t>
  </si>
  <si>
    <t>group D teams (F C)</t>
  </si>
  <si>
    <t>group D teams (J F)</t>
  </si>
  <si>
    <t>group D teams (H D)</t>
  </si>
  <si>
    <t>group D teams (E G)</t>
  </si>
  <si>
    <t>group D teams (C A)</t>
  </si>
  <si>
    <t>group D teams (I B)</t>
  </si>
  <si>
    <t>group D teams (D J)</t>
  </si>
  <si>
    <t>group D teams (F H)</t>
  </si>
  <si>
    <t>group D teams (G C)</t>
  </si>
  <si>
    <t>group D teams (E I)</t>
  </si>
  <si>
    <t>group D teams (B A)</t>
  </si>
  <si>
    <t>group D teams (F B)</t>
  </si>
  <si>
    <t>group D teams (D G)</t>
  </si>
  <si>
    <t>group D teams (H E)</t>
  </si>
  <si>
    <t>group D teams (I C)</t>
  </si>
  <si>
    <t>group D teams (A J)</t>
  </si>
  <si>
    <t>group D teams (I H)</t>
  </si>
  <si>
    <t>group D teams (B E)</t>
  </si>
  <si>
    <t>group D teams (A F)</t>
  </si>
  <si>
    <t>group D teams (G J)</t>
  </si>
  <si>
    <t>group D teams (C D)</t>
  </si>
  <si>
    <t>group D teams (B D)</t>
  </si>
  <si>
    <t>group D teams (G F)</t>
  </si>
  <si>
    <t>group D teams (C H)</t>
  </si>
  <si>
    <t>group D teams (A E)</t>
  </si>
  <si>
    <t>group D teams (J I)</t>
  </si>
  <si>
    <t>group D teams (H A)</t>
  </si>
  <si>
    <t>group D teams (J C)</t>
  </si>
  <si>
    <t>group D teams (F I)</t>
  </si>
  <si>
    <t>group D teams (B G)</t>
  </si>
  <si>
    <t>group D teams (D E)</t>
  </si>
  <si>
    <t>group D teams (E C)</t>
  </si>
  <si>
    <t>group D teams (A I)</t>
  </si>
  <si>
    <t>group D teams (J B)</t>
  </si>
  <si>
    <t>group D teams (F D)</t>
  </si>
  <si>
    <t>group D teams (G H)</t>
  </si>
  <si>
    <t>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</si>
</sst>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ddd"/>
  </numFmts>
  <fonts count="8" x14ac:knownFonts="1">
    <font>
      <sz val="10"/>
      <name val="Arial"/>
    </font>
    <font>
      <sz val="8"/>
      <name val="Arial"/>
      <family val="2"/>
    </font>
    <font>
      <b/>
      <sz val="20"/>
      <color indexed="16"/>
      <name val="Arial"/>
      <family val="2"/>
    </font>
    <font>
      <sz val="10"/>
      <name val="Arial"/>
      <family val="2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"/>
      <family val="2"/>
      <charset val="238"/>
    </font>
    <font>
      <sz val="10"/>
      <color theme="3"/>
      <name val="Arial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2" borderId="0" xfId="0" applyFont="1" applyFill="1" applyAlignment="1">
      <alignment horizontal="left" vertical="center"/>
    </xf>
    <xf numFmtId="49" fontId="0" fillId="0" borderId="0" xfId="0" applyNumberFormat="1"/>
    <xf numFmtId="0" fontId="3" fillId="0" borderId="1" xfId="0" applyNumberFormat="1" applyFont="1" applyBorder="1" applyAlignment="1">
      <alignment vertical="center" wrapText="1"/>
    </xf>
    <xf numFmtId="0" fontId="4" fillId="0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4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4" fillId="6" borderId="0" xfId="0" applyFont="1" applyFill="1" applyAlignment="1">
      <alignment horizontal="center"/>
    </xf>
    <xf numFmtId="0" fontId="4" fillId="0" borderId="0" xfId="0" applyFont="1"/>
    <xf numFmtId="0" fontId="0" fillId="7" borderId="0" xfId="0" applyFill="1"/>
    <xf numFmtId="0" fontId="0" fillId="8" borderId="0" xfId="0" applyFill="1" applyAlignment="1">
      <alignment horizontal="center"/>
    </xf>
    <xf numFmtId="0" fontId="4" fillId="8" borderId="0" xfId="0" applyFont="1" applyFill="1" applyAlignment="1">
      <alignment horizontal="center"/>
    </xf>
    <xf numFmtId="14" fontId="0" fillId="0" borderId="0" xfId="0" applyNumberFormat="1"/>
    <xf numFmtId="0" fontId="4" fillId="0" borderId="0" xfId="0" applyFont="1" applyFill="1"/>
    <xf numFmtId="0" fontId="7" fillId="0" borderId="0" xfId="0" applyFont="1"/>
    <xf numFmtId="166" fontId="0" fillId="0" borderId="0" xfId="0" applyNumberFormat="1"/>
  </cellXfs>
  <cellStyles count="1">
    <cellStyle name="Normalny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28575</xdr:colOff>
          <xdr:row>0</xdr:row>
          <xdr:rowOff>85725</xdr:rowOff>
        </xdr:from>
        <xdr:to>
          <xdr:col>2</xdr:col>
          <xdr:colOff>457200</xdr:colOff>
          <xdr:row>0</xdr:row>
          <xdr:rowOff>495300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0</xdr:row>
          <xdr:rowOff>85725</xdr:rowOff>
        </xdr:from>
        <xdr:to>
          <xdr:col>0</xdr:col>
          <xdr:colOff>790575</xdr:colOff>
          <xdr:row>0</xdr:row>
          <xdr:rowOff>495300</xdr:rowOff>
        </xdr:to>
        <xdr:sp macro="" textlink="">
          <xdr:nvSpPr>
            <xdr:cNvPr id="1026" name="Spin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390525</xdr:colOff>
          <xdr:row>0</xdr:row>
          <xdr:rowOff>47625</xdr:rowOff>
        </xdr:from>
        <xdr:to>
          <xdr:col>8</xdr:col>
          <xdr:colOff>114300</xdr:colOff>
          <xdr:row>0</xdr:row>
          <xdr:rowOff>304800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476250</xdr:colOff>
          <xdr:row>0</xdr:row>
          <xdr:rowOff>28575</xdr:rowOff>
        </xdr:from>
        <xdr:to>
          <xdr:col>5</xdr:col>
          <xdr:colOff>352425</xdr:colOff>
          <xdr:row>0</xdr:row>
          <xdr:rowOff>276225</xdr:rowOff>
        </xdr:to>
        <xdr:sp macro="" textlink="">
          <xdr:nvSpPr>
            <xdr:cNvPr id="1028" name="Option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476250</xdr:colOff>
          <xdr:row>0</xdr:row>
          <xdr:rowOff>257175</xdr:rowOff>
        </xdr:from>
        <xdr:to>
          <xdr:col>5</xdr:col>
          <xdr:colOff>295275</xdr:colOff>
          <xdr:row>0</xdr:row>
          <xdr:rowOff>504825</xdr:rowOff>
        </xdr:to>
        <xdr:sp macro="" textlink="">
          <xdr:nvSpPr>
            <xdr:cNvPr id="1029" name="OptionButton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314325</xdr:colOff>
          <xdr:row>0</xdr:row>
          <xdr:rowOff>323850</xdr:rowOff>
        </xdr:from>
        <xdr:to>
          <xdr:col>9</xdr:col>
          <xdr:colOff>123825</xdr:colOff>
          <xdr:row>0</xdr:row>
          <xdr:rowOff>542925</xdr:rowOff>
        </xdr:to>
        <xdr:sp macro="" textlink="">
          <xdr:nvSpPr>
            <xdr:cNvPr id="1030" name="CheckBox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0</xdr:row>
          <xdr:rowOff>28575</xdr:rowOff>
        </xdr:from>
        <xdr:to>
          <xdr:col>9</xdr:col>
          <xdr:colOff>142875</xdr:colOff>
          <xdr:row>0</xdr:row>
          <xdr:rowOff>323850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200025</xdr:colOff>
          <xdr:row>0</xdr:row>
          <xdr:rowOff>304800</xdr:rowOff>
        </xdr:from>
        <xdr:to>
          <xdr:col>13</xdr:col>
          <xdr:colOff>104775</xdr:colOff>
          <xdr:row>0</xdr:row>
          <xdr:rowOff>542925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0</xdr:row>
          <xdr:rowOff>47625</xdr:rowOff>
        </xdr:from>
        <xdr:to>
          <xdr:col>13</xdr:col>
          <xdr:colOff>104775</xdr:colOff>
          <xdr:row>0</xdr:row>
          <xdr:rowOff>304800</xdr:rowOff>
        </xdr:to>
        <xdr:sp macro="" textlink="">
          <xdr:nvSpPr>
            <xdr:cNvPr id="1033" name="Combo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152400</xdr:colOff>
          <xdr:row>0</xdr:row>
          <xdr:rowOff>342900</xdr:rowOff>
        </xdr:from>
        <xdr:to>
          <xdr:col>11</xdr:col>
          <xdr:colOff>123825</xdr:colOff>
          <xdr:row>0</xdr:row>
          <xdr:rowOff>523875</xdr:rowOff>
        </xdr:to>
        <xdr:sp macro="" textlink="">
          <xdr:nvSpPr>
            <xdr:cNvPr id="1034" name="Label1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180975</xdr:colOff>
          <xdr:row>0</xdr:row>
          <xdr:rowOff>295275</xdr:rowOff>
        </xdr:from>
        <xdr:to>
          <xdr:col>16</xdr:col>
          <xdr:colOff>504825</xdr:colOff>
          <xdr:row>0</xdr:row>
          <xdr:rowOff>514350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180975</xdr:colOff>
          <xdr:row>0</xdr:row>
          <xdr:rowOff>76200</xdr:rowOff>
        </xdr:from>
        <xdr:to>
          <xdr:col>16</xdr:col>
          <xdr:colOff>504825</xdr:colOff>
          <xdr:row>0</xdr:row>
          <xdr:rowOff>295275</xdr:rowOff>
        </xdr:to>
        <xdr:sp macro="" textlink="">
          <xdr:nvSpPr>
            <xdr:cNvPr id="1037" name="CheckBox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B2"/>
  <sheetViews>
    <sheetView showGridLines="0" showRowColHeaders="0" workbookViewId="0">
      <selection activeCell="B4" sqref="B4"/>
    </sheetView>
  </sheetViews>
  <sheetFormatPr defaultRowHeight="12.75" x14ac:dyDescent="0.2"/>
  <cols>
    <col min="1" max="1" width="5.85546875" customWidth="1"/>
    <col min="2" max="2" width="45.42578125" customWidth="1"/>
  </cols>
  <sheetData>
    <row r="1" spans="2:2" ht="13.5" thickBot="1" x14ac:dyDescent="0.25"/>
    <row r="2" spans="2:2" ht="114.75" customHeight="1" thickBot="1" x14ac:dyDescent="0.25">
      <c r="B2" s="6" t="s">
        <v>360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N102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:F11"/>
    </sheetView>
  </sheetViews>
  <sheetFormatPr defaultColWidth="7.7109375" defaultRowHeight="12.75" x14ac:dyDescent="0.2"/>
  <cols>
    <col min="1" max="1" width="12.140625" style="3" customWidth="1"/>
    <col min="2" max="255" width="7.7109375" style="2" customWidth="1"/>
    <col min="256" max="16384" width="7.7109375" style="2"/>
  </cols>
  <sheetData>
    <row r="1" spans="1:300" s="1" customFormat="1" ht="44.25" customHeight="1" x14ac:dyDescent="0.2">
      <c r="A1" s="4">
        <v>10</v>
      </c>
    </row>
    <row r="2" spans="1:300" s="8" customFormat="1" ht="23.25" customHeight="1" x14ac:dyDescent="0.2">
      <c r="A2" s="2"/>
      <c r="B2" s="2" t="s">
        <v>361</v>
      </c>
      <c r="C2" s="2" t="s">
        <v>362</v>
      </c>
      <c r="D2" s="2" t="s">
        <v>363</v>
      </c>
      <c r="E2" s="2" t="s">
        <v>395</v>
      </c>
      <c r="F2" s="2" t="s">
        <v>419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</row>
    <row r="3" spans="1:300" s="9" customFormat="1" ht="14.1" customHeight="1" x14ac:dyDescent="0.2">
      <c r="A3" s="2">
        <v>1</v>
      </c>
      <c r="B3" s="7" t="s">
        <v>457</v>
      </c>
      <c r="C3" s="7" t="s">
        <v>428</v>
      </c>
      <c r="D3" s="7" t="s">
        <v>367</v>
      </c>
      <c r="E3" s="7" t="s">
        <v>372</v>
      </c>
      <c r="F3" s="7" t="s">
        <v>412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</row>
    <row r="4" spans="1:300" ht="14.1" customHeight="1" x14ac:dyDescent="0.2">
      <c r="A4" s="2">
        <v>2</v>
      </c>
      <c r="B4" s="7" t="s">
        <v>397</v>
      </c>
      <c r="C4" s="7" t="s">
        <v>449</v>
      </c>
      <c r="D4" s="7" t="s">
        <v>414</v>
      </c>
      <c r="E4" s="7" t="s">
        <v>388</v>
      </c>
      <c r="F4" s="7" t="s">
        <v>364</v>
      </c>
    </row>
    <row r="5" spans="1:300" ht="14.1" customHeight="1" x14ac:dyDescent="0.2">
      <c r="A5" s="2">
        <v>3</v>
      </c>
      <c r="B5" s="7" t="s">
        <v>366</v>
      </c>
      <c r="C5" s="7" t="s">
        <v>373</v>
      </c>
      <c r="D5" s="7" t="s">
        <v>402</v>
      </c>
      <c r="E5" s="7" t="s">
        <v>448</v>
      </c>
      <c r="F5" s="7" t="s">
        <v>432</v>
      </c>
    </row>
    <row r="6" spans="1:300" ht="14.1" customHeight="1" x14ac:dyDescent="0.2">
      <c r="A6" s="2">
        <v>4</v>
      </c>
      <c r="B6" s="7" t="s">
        <v>393</v>
      </c>
      <c r="C6" s="7" t="s">
        <v>384</v>
      </c>
      <c r="D6" s="7" t="s">
        <v>426</v>
      </c>
      <c r="E6" s="7" t="s">
        <v>409</v>
      </c>
      <c r="F6" s="7" t="s">
        <v>400</v>
      </c>
    </row>
    <row r="7" spans="1:300" ht="14.1" customHeight="1" x14ac:dyDescent="0.2">
      <c r="A7" s="2">
        <v>5</v>
      </c>
      <c r="B7" s="7" t="s">
        <v>454</v>
      </c>
      <c r="C7" s="7" t="s">
        <v>407</v>
      </c>
      <c r="D7" s="7" t="s">
        <v>396</v>
      </c>
      <c r="E7" s="7" t="s">
        <v>375</v>
      </c>
      <c r="F7" s="7" t="s">
        <v>423</v>
      </c>
    </row>
    <row r="8" spans="1:300" ht="14.1" customHeight="1" x14ac:dyDescent="0.2">
      <c r="A8" s="2">
        <v>6</v>
      </c>
      <c r="B8" s="7" t="s">
        <v>389</v>
      </c>
      <c r="C8" s="7" t="s">
        <v>439</v>
      </c>
      <c r="D8" s="7" t="s">
        <v>368</v>
      </c>
      <c r="E8" s="7" t="s">
        <v>392</v>
      </c>
      <c r="F8" s="7" t="s">
        <v>437</v>
      </c>
    </row>
    <row r="9" spans="1:300" ht="14.1" customHeight="1" x14ac:dyDescent="0.2">
      <c r="A9" s="2">
        <v>7</v>
      </c>
      <c r="B9" s="7" t="s">
        <v>438</v>
      </c>
      <c r="C9" s="7" t="s">
        <v>421</v>
      </c>
      <c r="D9" s="7" t="s">
        <v>369</v>
      </c>
      <c r="E9" s="7" t="s">
        <v>427</v>
      </c>
      <c r="F9" s="7" t="s">
        <v>391</v>
      </c>
    </row>
    <row r="10" spans="1:300" ht="14.1" customHeight="1" x14ac:dyDescent="0.2">
      <c r="A10" s="2">
        <v>8</v>
      </c>
      <c r="B10" s="7" t="s">
        <v>401</v>
      </c>
      <c r="C10" s="7" t="s">
        <v>382</v>
      </c>
      <c r="D10" s="7" t="s">
        <v>416</v>
      </c>
      <c r="E10" s="7" t="s">
        <v>447</v>
      </c>
      <c r="F10" s="7" t="s">
        <v>425</v>
      </c>
    </row>
    <row r="11" spans="1:300" ht="14.1" customHeight="1" x14ac:dyDescent="0.2">
      <c r="A11" s="2">
        <v>9</v>
      </c>
      <c r="B11" s="7" t="s">
        <v>386</v>
      </c>
      <c r="C11" s="7" t="s">
        <v>413</v>
      </c>
      <c r="D11" s="7" t="s">
        <v>430</v>
      </c>
      <c r="E11" s="7" t="s">
        <v>404</v>
      </c>
      <c r="F11" s="7" t="s">
        <v>390</v>
      </c>
    </row>
    <row r="12" spans="1:300" ht="14.1" customHeight="1" x14ac:dyDescent="0.2">
      <c r="A12" s="2"/>
    </row>
    <row r="13" spans="1:300" ht="14.1" customHeight="1" x14ac:dyDescent="0.2">
      <c r="A13" s="2"/>
    </row>
    <row r="14" spans="1:300" ht="14.1" customHeight="1" x14ac:dyDescent="0.2">
      <c r="A14" s="2"/>
    </row>
    <row r="15" spans="1:300" ht="14.1" customHeight="1" x14ac:dyDescent="0.2">
      <c r="A15" s="2"/>
    </row>
    <row r="16" spans="1:300" ht="14.1" customHeight="1" x14ac:dyDescent="0.2">
      <c r="A16" s="2"/>
    </row>
    <row r="17" spans="1:1" ht="14.1" customHeight="1" x14ac:dyDescent="0.2">
      <c r="A17" s="2"/>
    </row>
    <row r="18" spans="1:1" ht="14.1" customHeight="1" x14ac:dyDescent="0.2">
      <c r="A18" s="2"/>
    </row>
    <row r="19" spans="1:1" ht="14.1" customHeight="1" x14ac:dyDescent="0.2">
      <c r="A19" s="2"/>
    </row>
    <row r="20" spans="1:1" ht="14.1" customHeight="1" x14ac:dyDescent="0.2">
      <c r="A20" s="2"/>
    </row>
    <row r="21" spans="1:1" ht="14.1" customHeight="1" x14ac:dyDescent="0.2">
      <c r="A21" s="2"/>
    </row>
    <row r="22" spans="1:1" ht="14.1" customHeight="1" x14ac:dyDescent="0.2">
      <c r="A22" s="2"/>
    </row>
    <row r="23" spans="1:1" ht="14.1" customHeight="1" x14ac:dyDescent="0.2">
      <c r="A23" s="2"/>
    </row>
    <row r="24" spans="1:1" ht="14.1" customHeight="1" x14ac:dyDescent="0.2">
      <c r="A24" s="2"/>
    </row>
    <row r="25" spans="1:1" ht="14.1" customHeight="1" x14ac:dyDescent="0.2">
      <c r="A25" s="2"/>
    </row>
    <row r="26" spans="1:1" ht="14.1" customHeight="1" x14ac:dyDescent="0.2">
      <c r="A26" s="2"/>
    </row>
    <row r="27" spans="1:1" ht="14.1" customHeight="1" x14ac:dyDescent="0.2">
      <c r="A27" s="2"/>
    </row>
    <row r="28" spans="1:1" ht="14.1" customHeight="1" x14ac:dyDescent="0.2">
      <c r="A28" s="2"/>
    </row>
    <row r="29" spans="1:1" ht="14.1" customHeight="1" x14ac:dyDescent="0.2">
      <c r="A29" s="2"/>
    </row>
    <row r="30" spans="1:1" ht="14.1" customHeight="1" x14ac:dyDescent="0.2">
      <c r="A30" s="2"/>
    </row>
    <row r="31" spans="1:1" ht="14.1" customHeight="1" x14ac:dyDescent="0.2">
      <c r="A31" s="2"/>
    </row>
    <row r="32" spans="1:1" ht="14.1" customHeight="1" x14ac:dyDescent="0.2">
      <c r="A32" s="2"/>
    </row>
    <row r="33" spans="1:1" ht="14.1" customHeight="1" x14ac:dyDescent="0.2">
      <c r="A33" s="2"/>
    </row>
    <row r="34" spans="1:1" ht="14.1" customHeight="1" x14ac:dyDescent="0.2">
      <c r="A34" s="2"/>
    </row>
    <row r="35" spans="1:1" ht="14.1" customHeight="1" x14ac:dyDescent="0.2">
      <c r="A35" s="2"/>
    </row>
    <row r="36" spans="1:1" ht="14.1" customHeight="1" x14ac:dyDescent="0.2">
      <c r="A36" s="2"/>
    </row>
    <row r="37" spans="1:1" ht="14.1" customHeight="1" x14ac:dyDescent="0.2">
      <c r="A37" s="2"/>
    </row>
    <row r="38" spans="1:1" ht="14.1" customHeight="1" x14ac:dyDescent="0.2">
      <c r="A38" s="2"/>
    </row>
    <row r="39" spans="1:1" ht="14.1" customHeight="1" x14ac:dyDescent="0.2">
      <c r="A39" s="2"/>
    </row>
    <row r="40" spans="1:1" ht="14.1" customHeight="1" x14ac:dyDescent="0.2">
      <c r="A40" s="2"/>
    </row>
    <row r="41" spans="1:1" ht="14.1" customHeight="1" x14ac:dyDescent="0.2">
      <c r="A41" s="2"/>
    </row>
    <row r="42" spans="1:1" ht="14.1" customHeight="1" x14ac:dyDescent="0.2">
      <c r="A42" s="2"/>
    </row>
    <row r="43" spans="1:1" ht="14.1" customHeight="1" x14ac:dyDescent="0.2">
      <c r="A43" s="2"/>
    </row>
    <row r="44" spans="1:1" ht="14.1" customHeight="1" x14ac:dyDescent="0.2">
      <c r="A44" s="2"/>
    </row>
    <row r="45" spans="1:1" ht="14.1" customHeight="1" x14ac:dyDescent="0.2">
      <c r="A45" s="2"/>
    </row>
    <row r="46" spans="1:1" ht="14.1" customHeight="1" x14ac:dyDescent="0.2">
      <c r="A46" s="2"/>
    </row>
    <row r="47" spans="1:1" ht="14.1" customHeight="1" x14ac:dyDescent="0.2">
      <c r="A47" s="2"/>
    </row>
    <row r="48" spans="1:1" ht="14.1" customHeight="1" x14ac:dyDescent="0.2">
      <c r="A48" s="2"/>
    </row>
    <row r="49" spans="1:1" ht="14.1" customHeight="1" x14ac:dyDescent="0.2">
      <c r="A49" s="2"/>
    </row>
    <row r="50" spans="1:1" ht="14.1" customHeight="1" x14ac:dyDescent="0.2">
      <c r="A50" s="2"/>
    </row>
    <row r="51" spans="1:1" ht="14.1" customHeight="1" x14ac:dyDescent="0.2">
      <c r="A51" s="2"/>
    </row>
    <row r="52" spans="1:1" ht="14.1" customHeight="1" x14ac:dyDescent="0.2">
      <c r="A52" s="2"/>
    </row>
    <row r="53" spans="1:1" ht="14.1" customHeight="1" x14ac:dyDescent="0.2">
      <c r="A53" s="2"/>
    </row>
    <row r="54" spans="1:1" ht="14.1" customHeight="1" x14ac:dyDescent="0.2">
      <c r="A54" s="2"/>
    </row>
    <row r="55" spans="1:1" ht="14.1" customHeight="1" x14ac:dyDescent="0.2">
      <c r="A55" s="2"/>
    </row>
    <row r="56" spans="1:1" ht="14.1" customHeight="1" x14ac:dyDescent="0.2">
      <c r="A56" s="2"/>
    </row>
    <row r="57" spans="1:1" ht="14.1" customHeight="1" x14ac:dyDescent="0.2">
      <c r="A57" s="2"/>
    </row>
    <row r="58" spans="1:1" ht="14.1" customHeight="1" x14ac:dyDescent="0.2">
      <c r="A58" s="2"/>
    </row>
    <row r="59" spans="1:1" ht="14.1" customHeight="1" x14ac:dyDescent="0.2">
      <c r="A59" s="2"/>
    </row>
    <row r="60" spans="1:1" ht="14.1" customHeight="1" x14ac:dyDescent="0.2">
      <c r="A60" s="2"/>
    </row>
    <row r="61" spans="1:1" ht="14.1" customHeight="1" x14ac:dyDescent="0.2">
      <c r="A61" s="2"/>
    </row>
    <row r="62" spans="1:1" ht="14.1" customHeight="1" x14ac:dyDescent="0.2">
      <c r="A62" s="2"/>
    </row>
    <row r="63" spans="1:1" ht="14.1" customHeight="1" x14ac:dyDescent="0.2">
      <c r="A63" s="2"/>
    </row>
    <row r="64" spans="1:1" ht="14.1" customHeight="1" x14ac:dyDescent="0.2">
      <c r="A64" s="2"/>
    </row>
    <row r="65" spans="1:1" ht="14.1" customHeight="1" x14ac:dyDescent="0.2">
      <c r="A65" s="2"/>
    </row>
    <row r="66" spans="1:1" ht="14.1" customHeight="1" x14ac:dyDescent="0.2">
      <c r="A66" s="2"/>
    </row>
    <row r="67" spans="1:1" ht="14.1" customHeight="1" x14ac:dyDescent="0.2">
      <c r="A67" s="2"/>
    </row>
    <row r="68" spans="1:1" ht="14.1" customHeight="1" x14ac:dyDescent="0.2">
      <c r="A68" s="2"/>
    </row>
    <row r="69" spans="1:1" ht="14.1" customHeight="1" x14ac:dyDescent="0.2">
      <c r="A69" s="2"/>
    </row>
    <row r="70" spans="1:1" ht="14.1" customHeight="1" x14ac:dyDescent="0.2">
      <c r="A70" s="2"/>
    </row>
    <row r="71" spans="1:1" ht="14.1" customHeight="1" x14ac:dyDescent="0.2">
      <c r="A71" s="2"/>
    </row>
    <row r="72" spans="1:1" ht="14.1" customHeight="1" x14ac:dyDescent="0.2">
      <c r="A72" s="2"/>
    </row>
    <row r="73" spans="1:1" ht="14.1" customHeight="1" x14ac:dyDescent="0.2">
      <c r="A73" s="2"/>
    </row>
    <row r="74" spans="1:1" ht="14.1" customHeight="1" x14ac:dyDescent="0.2">
      <c r="A74" s="2"/>
    </row>
    <row r="75" spans="1:1" ht="14.1" customHeight="1" x14ac:dyDescent="0.2">
      <c r="A75" s="2"/>
    </row>
    <row r="76" spans="1:1" ht="14.1" customHeight="1" x14ac:dyDescent="0.2">
      <c r="A76" s="2"/>
    </row>
    <row r="77" spans="1:1" ht="14.1" customHeight="1" x14ac:dyDescent="0.2">
      <c r="A77" s="2"/>
    </row>
    <row r="78" spans="1:1" ht="14.1" customHeight="1" x14ac:dyDescent="0.2">
      <c r="A78" s="2"/>
    </row>
    <row r="79" spans="1:1" ht="14.1" customHeight="1" x14ac:dyDescent="0.2">
      <c r="A79" s="2"/>
    </row>
    <row r="80" spans="1:1" ht="14.1" customHeight="1" x14ac:dyDescent="0.2">
      <c r="A80" s="2"/>
    </row>
    <row r="81" spans="1:1" ht="14.1" customHeight="1" x14ac:dyDescent="0.2">
      <c r="A81" s="2"/>
    </row>
    <row r="82" spans="1:1" ht="14.1" customHeight="1" x14ac:dyDescent="0.2">
      <c r="A82" s="2"/>
    </row>
    <row r="83" spans="1:1" ht="14.1" customHeight="1" x14ac:dyDescent="0.2">
      <c r="A83" s="2"/>
    </row>
    <row r="84" spans="1:1" ht="14.1" customHeight="1" x14ac:dyDescent="0.2">
      <c r="A84" s="2"/>
    </row>
    <row r="85" spans="1:1" ht="14.1" customHeight="1" x14ac:dyDescent="0.2">
      <c r="A85" s="2"/>
    </row>
    <row r="86" spans="1:1" ht="14.1" customHeight="1" x14ac:dyDescent="0.2">
      <c r="A86" s="2"/>
    </row>
    <row r="87" spans="1:1" ht="14.1" customHeight="1" x14ac:dyDescent="0.2">
      <c r="A87" s="2"/>
    </row>
    <row r="88" spans="1:1" ht="14.1" customHeight="1" x14ac:dyDescent="0.2">
      <c r="A88" s="2"/>
    </row>
    <row r="89" spans="1:1" ht="14.1" customHeight="1" x14ac:dyDescent="0.2">
      <c r="A89" s="2"/>
    </row>
    <row r="90" spans="1:1" ht="14.1" customHeight="1" x14ac:dyDescent="0.2">
      <c r="A90" s="2"/>
    </row>
    <row r="91" spans="1:1" ht="14.1" customHeight="1" x14ac:dyDescent="0.2">
      <c r="A91" s="2"/>
    </row>
    <row r="92" spans="1:1" ht="14.1" customHeight="1" x14ac:dyDescent="0.2">
      <c r="A92" s="2"/>
    </row>
    <row r="93" spans="1:1" ht="14.1" customHeight="1" x14ac:dyDescent="0.2">
      <c r="A93" s="2"/>
    </row>
    <row r="94" spans="1:1" ht="14.1" customHeight="1" x14ac:dyDescent="0.2">
      <c r="A94" s="2"/>
    </row>
    <row r="95" spans="1:1" ht="14.1" customHeight="1" x14ac:dyDescent="0.2">
      <c r="A95" s="2"/>
    </row>
    <row r="96" spans="1:1" ht="14.1" customHeight="1" x14ac:dyDescent="0.2">
      <c r="A96" s="2"/>
    </row>
    <row r="97" spans="1:1" ht="14.1" customHeight="1" x14ac:dyDescent="0.2">
      <c r="A97" s="2"/>
    </row>
    <row r="98" spans="1:1" ht="14.1" customHeight="1" x14ac:dyDescent="0.2">
      <c r="A98" s="2"/>
    </row>
    <row r="99" spans="1:1" ht="14.1" customHeight="1" x14ac:dyDescent="0.2">
      <c r="A99" s="2"/>
    </row>
    <row r="100" spans="1:1" ht="14.1" customHeight="1" x14ac:dyDescent="0.2">
      <c r="A100" s="2"/>
    </row>
    <row r="101" spans="1:1" ht="14.1" customHeight="1" x14ac:dyDescent="0.2">
      <c r="A101" s="2"/>
    </row>
    <row r="102" spans="1:1" ht="14.1" customHeight="1" x14ac:dyDescent="0.2">
      <c r="A102" s="2"/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7" r:id="rId4" name="CheckBox3">
          <controlPr defaultSize="0" autoLine="0" r:id="rId5">
            <anchor>
              <from>
                <xdr:col>13</xdr:col>
                <xdr:colOff>180975</xdr:colOff>
                <xdr:row>0</xdr:row>
                <xdr:rowOff>76200</xdr:rowOff>
              </from>
              <to>
                <xdr:col>16</xdr:col>
                <xdr:colOff>504825</xdr:colOff>
                <xdr:row>0</xdr:row>
                <xdr:rowOff>295275</xdr:rowOff>
              </to>
            </anchor>
          </controlPr>
        </control>
      </mc:Choice>
      <mc:Fallback>
        <control shapeId="1037" r:id="rId4" name="CheckBox3"/>
      </mc:Fallback>
    </mc:AlternateContent>
    <mc:AlternateContent xmlns:mc="http://schemas.openxmlformats.org/markup-compatibility/2006">
      <mc:Choice Requires="x14">
        <control shapeId="1036" r:id="rId6" name="CheckBox2">
          <controlPr defaultSize="0" autoLine="0" r:id="rId7">
            <anchor>
              <from>
                <xdr:col>13</xdr:col>
                <xdr:colOff>180975</xdr:colOff>
                <xdr:row>0</xdr:row>
                <xdr:rowOff>295275</xdr:rowOff>
              </from>
              <to>
                <xdr:col>16</xdr:col>
                <xdr:colOff>504825</xdr:colOff>
                <xdr:row>0</xdr:row>
                <xdr:rowOff>514350</xdr:rowOff>
              </to>
            </anchor>
          </controlPr>
        </control>
      </mc:Choice>
      <mc:Fallback>
        <control shapeId="1036" r:id="rId6" name="CheckBox2"/>
      </mc:Fallback>
    </mc:AlternateContent>
    <mc:AlternateContent xmlns:mc="http://schemas.openxmlformats.org/markup-compatibility/2006">
      <mc:Choice Requires="x14">
        <control shapeId="1034" r:id="rId8" name="Label1">
          <controlPr defaultSize="0" autoLine="0" r:id="rId9">
            <anchor>
              <from>
                <xdr:col>10</xdr:col>
                <xdr:colOff>152400</xdr:colOff>
                <xdr:row>0</xdr:row>
                <xdr:rowOff>342900</xdr:rowOff>
              </from>
              <to>
                <xdr:col>11</xdr:col>
                <xdr:colOff>123825</xdr:colOff>
                <xdr:row>0</xdr:row>
                <xdr:rowOff>523875</xdr:rowOff>
              </to>
            </anchor>
          </controlPr>
        </control>
      </mc:Choice>
      <mc:Fallback>
        <control shapeId="1034" r:id="rId8" name="Label1"/>
      </mc:Fallback>
    </mc:AlternateContent>
    <mc:AlternateContent xmlns:mc="http://schemas.openxmlformats.org/markup-compatibility/2006">
      <mc:Choice Requires="x14">
        <control shapeId="1033" r:id="rId10" name="ComboBox2">
          <controlPr defaultSize="0" autoLine="0" r:id="rId11">
            <anchor>
              <from>
                <xdr:col>9</xdr:col>
                <xdr:colOff>200025</xdr:colOff>
                <xdr:row>0</xdr:row>
                <xdr:rowOff>47625</xdr:rowOff>
              </from>
              <to>
                <xdr:col>13</xdr:col>
                <xdr:colOff>104775</xdr:colOff>
                <xdr:row>0</xdr:row>
                <xdr:rowOff>304800</xdr:rowOff>
              </to>
            </anchor>
          </controlPr>
        </control>
      </mc:Choice>
      <mc:Fallback>
        <control shapeId="1033" r:id="rId10" name="ComboBox2"/>
      </mc:Fallback>
    </mc:AlternateContent>
    <mc:AlternateContent xmlns:mc="http://schemas.openxmlformats.org/markup-compatibility/2006">
      <mc:Choice Requires="x14">
        <control shapeId="1032" r:id="rId12" name="TextBox1">
          <controlPr defaultSize="0" disabled="1" autoLine="0" r:id="rId13">
            <anchor>
              <from>
                <xdr:col>11</xdr:col>
                <xdr:colOff>200025</xdr:colOff>
                <xdr:row>0</xdr:row>
                <xdr:rowOff>304800</xdr:rowOff>
              </from>
              <to>
                <xdr:col>13</xdr:col>
                <xdr:colOff>104775</xdr:colOff>
                <xdr:row>0</xdr:row>
                <xdr:rowOff>542925</xdr:rowOff>
              </to>
            </anchor>
          </controlPr>
        </control>
      </mc:Choice>
      <mc:Fallback>
        <control shapeId="1032" r:id="rId12" name="TextBox1"/>
      </mc:Fallback>
    </mc:AlternateContent>
    <mc:AlternateContent xmlns:mc="http://schemas.openxmlformats.org/markup-compatibility/2006">
      <mc:Choice Requires="x14">
        <control shapeId="1031" r:id="rId14" name="CommandButton2">
          <controlPr defaultSize="0" autoFill="0" autoLine="0" r:id="rId15">
            <anchor>
              <from>
                <xdr:col>8</xdr:col>
                <xdr:colOff>180975</xdr:colOff>
                <xdr:row>0</xdr:row>
                <xdr:rowOff>28575</xdr:rowOff>
              </from>
              <to>
                <xdr:col>9</xdr:col>
                <xdr:colOff>142875</xdr:colOff>
                <xdr:row>0</xdr:row>
                <xdr:rowOff>323850</xdr:rowOff>
              </to>
            </anchor>
          </controlPr>
        </control>
      </mc:Choice>
      <mc:Fallback>
        <control shapeId="1031" r:id="rId14" name="CommandButton2"/>
      </mc:Fallback>
    </mc:AlternateContent>
    <mc:AlternateContent xmlns:mc="http://schemas.openxmlformats.org/markup-compatibility/2006">
      <mc:Choice Requires="x14">
        <control shapeId="1030" r:id="rId16" name="CheckBox1">
          <controlPr defaultSize="0" autoLine="0" r:id="rId17">
            <anchor>
              <from>
                <xdr:col>5</xdr:col>
                <xdr:colOff>314325</xdr:colOff>
                <xdr:row>0</xdr:row>
                <xdr:rowOff>323850</xdr:rowOff>
              </from>
              <to>
                <xdr:col>9</xdr:col>
                <xdr:colOff>123825</xdr:colOff>
                <xdr:row>0</xdr:row>
                <xdr:rowOff>542925</xdr:rowOff>
              </to>
            </anchor>
          </controlPr>
        </control>
      </mc:Choice>
      <mc:Fallback>
        <control shapeId="1030" r:id="rId16" name="CheckBox1"/>
      </mc:Fallback>
    </mc:AlternateContent>
    <mc:AlternateContent xmlns:mc="http://schemas.openxmlformats.org/markup-compatibility/2006">
      <mc:Choice Requires="x14">
        <control shapeId="1029" r:id="rId18" name="OptionButton2">
          <controlPr defaultSize="0" autoLine="0" r:id="rId19">
            <anchor>
              <from>
                <xdr:col>2</xdr:col>
                <xdr:colOff>476250</xdr:colOff>
                <xdr:row>0</xdr:row>
                <xdr:rowOff>257175</xdr:rowOff>
              </from>
              <to>
                <xdr:col>5</xdr:col>
                <xdr:colOff>295275</xdr:colOff>
                <xdr:row>0</xdr:row>
                <xdr:rowOff>504825</xdr:rowOff>
              </to>
            </anchor>
          </controlPr>
        </control>
      </mc:Choice>
      <mc:Fallback>
        <control shapeId="1029" r:id="rId18" name="OptionButton2"/>
      </mc:Fallback>
    </mc:AlternateContent>
    <mc:AlternateContent xmlns:mc="http://schemas.openxmlformats.org/markup-compatibility/2006">
      <mc:Choice Requires="x14">
        <control shapeId="1028" r:id="rId20" name="OptionButton1">
          <controlPr defaultSize="0" autoLine="0" r:id="rId21">
            <anchor>
              <from>
                <xdr:col>2</xdr:col>
                <xdr:colOff>476250</xdr:colOff>
                <xdr:row>0</xdr:row>
                <xdr:rowOff>28575</xdr:rowOff>
              </from>
              <to>
                <xdr:col>5</xdr:col>
                <xdr:colOff>352425</xdr:colOff>
                <xdr:row>0</xdr:row>
                <xdr:rowOff>276225</xdr:rowOff>
              </to>
            </anchor>
          </controlPr>
        </control>
      </mc:Choice>
      <mc:Fallback>
        <control shapeId="1028" r:id="rId20" name="OptionButton1"/>
      </mc:Fallback>
    </mc:AlternateContent>
    <mc:AlternateContent xmlns:mc="http://schemas.openxmlformats.org/markup-compatibility/2006">
      <mc:Choice Requires="x14">
        <control shapeId="1027" r:id="rId22" name="ComboBox1">
          <controlPr defaultSize="0" autoLine="0" r:id="rId23">
            <anchor>
              <from>
                <xdr:col>5</xdr:col>
                <xdr:colOff>390525</xdr:colOff>
                <xdr:row>0</xdr:row>
                <xdr:rowOff>47625</xdr:rowOff>
              </from>
              <to>
                <xdr:col>8</xdr:col>
                <xdr:colOff>114300</xdr:colOff>
                <xdr:row>0</xdr:row>
                <xdr:rowOff>304800</xdr:rowOff>
              </to>
            </anchor>
          </controlPr>
        </control>
      </mc:Choice>
      <mc:Fallback>
        <control shapeId="1027" r:id="rId22" name="ComboBox1"/>
      </mc:Fallback>
    </mc:AlternateContent>
    <mc:AlternateContent xmlns:mc="http://schemas.openxmlformats.org/markup-compatibility/2006">
      <mc:Choice Requires="x14">
        <control shapeId="1026" r:id="rId24" name="SpinButton1">
          <controlPr defaultSize="0" autoLine="0" linkedCell="A1" r:id="rId25">
            <anchor moveWithCells="1">
              <from>
                <xdr:col>0</xdr:col>
                <xdr:colOff>485775</xdr:colOff>
                <xdr:row>0</xdr:row>
                <xdr:rowOff>85725</xdr:rowOff>
              </from>
              <to>
                <xdr:col>0</xdr:col>
                <xdr:colOff>790575</xdr:colOff>
                <xdr:row>0</xdr:row>
                <xdr:rowOff>495300</xdr:rowOff>
              </to>
            </anchor>
          </controlPr>
        </control>
      </mc:Choice>
      <mc:Fallback>
        <control shapeId="1026" r:id="rId24" name="SpinButton1"/>
      </mc:Fallback>
    </mc:AlternateContent>
    <mc:AlternateContent xmlns:mc="http://schemas.openxmlformats.org/markup-compatibility/2006">
      <mc:Choice Requires="x14">
        <control shapeId="1025" r:id="rId26" name="CommandButton1">
          <controlPr defaultSize="0" autoFill="0" autoLine="0" r:id="rId27">
            <anchor>
              <from>
                <xdr:col>1</xdr:col>
                <xdr:colOff>28575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495300</xdr:rowOff>
              </to>
            </anchor>
          </controlPr>
        </control>
      </mc:Choice>
      <mc:Fallback>
        <control shapeId="1025" r:id="rId2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60"/>
  <sheetViews>
    <sheetView workbookViewId="0"/>
  </sheetViews>
  <sheetFormatPr defaultRowHeight="12.75" x14ac:dyDescent="0.2"/>
  <cols>
    <col min="1" max="1" width="68.28515625" style="5" customWidth="1"/>
  </cols>
  <sheetData>
    <row r="1" spans="1:1" x14ac:dyDescent="0.2">
      <c r="A1" s="5" t="s">
        <v>0</v>
      </c>
    </row>
    <row r="2" spans="1:1" x14ac:dyDescent="0.2">
      <c r="A2" s="5" t="s">
        <v>1</v>
      </c>
    </row>
    <row r="3" spans="1:1" x14ac:dyDescent="0.2">
      <c r="A3" s="5" t="s">
        <v>2</v>
      </c>
    </row>
    <row r="4" spans="1:1" x14ac:dyDescent="0.2">
      <c r="A4" s="5" t="s">
        <v>3</v>
      </c>
    </row>
    <row r="5" spans="1:1" x14ac:dyDescent="0.2">
      <c r="A5" s="5" t="s">
        <v>4</v>
      </c>
    </row>
    <row r="6" spans="1:1" x14ac:dyDescent="0.2">
      <c r="A6" s="5" t="s">
        <v>5</v>
      </c>
    </row>
    <row r="7" spans="1:1" x14ac:dyDescent="0.2">
      <c r="A7" s="5" t="s">
        <v>6</v>
      </c>
    </row>
    <row r="8" spans="1:1" x14ac:dyDescent="0.2">
      <c r="A8" s="5" t="s">
        <v>7</v>
      </c>
    </row>
    <row r="9" spans="1:1" x14ac:dyDescent="0.2">
      <c r="A9" s="5" t="s">
        <v>8</v>
      </c>
    </row>
    <row r="10" spans="1:1" x14ac:dyDescent="0.2">
      <c r="A10" s="5" t="s">
        <v>9</v>
      </c>
    </row>
    <row r="11" spans="1:1" x14ac:dyDescent="0.2">
      <c r="A11" s="5" t="s">
        <v>10</v>
      </c>
    </row>
    <row r="12" spans="1:1" x14ac:dyDescent="0.2">
      <c r="A12" s="5" t="s">
        <v>11</v>
      </c>
    </row>
    <row r="13" spans="1:1" x14ac:dyDescent="0.2">
      <c r="A13" s="5" t="s">
        <v>12</v>
      </c>
    </row>
    <row r="14" spans="1:1" x14ac:dyDescent="0.2">
      <c r="A14" s="5" t="s">
        <v>13</v>
      </c>
    </row>
    <row r="15" spans="1:1" x14ac:dyDescent="0.2">
      <c r="A15" s="5" t="s">
        <v>14</v>
      </c>
    </row>
    <row r="16" spans="1:1" x14ac:dyDescent="0.2">
      <c r="A16" s="5" t="s">
        <v>15</v>
      </c>
    </row>
    <row r="17" spans="1:1" x14ac:dyDescent="0.2">
      <c r="A17" s="5" t="s">
        <v>16</v>
      </c>
    </row>
    <row r="18" spans="1:1" x14ac:dyDescent="0.2">
      <c r="A18" s="5" t="s">
        <v>17</v>
      </c>
    </row>
    <row r="19" spans="1:1" x14ac:dyDescent="0.2">
      <c r="A19" s="5" t="s">
        <v>18</v>
      </c>
    </row>
    <row r="20" spans="1:1" x14ac:dyDescent="0.2">
      <c r="A20" s="5" t="s">
        <v>19</v>
      </c>
    </row>
    <row r="21" spans="1:1" x14ac:dyDescent="0.2">
      <c r="A21" s="5" t="s">
        <v>20</v>
      </c>
    </row>
    <row r="22" spans="1:1" x14ac:dyDescent="0.2">
      <c r="A22" s="5" t="s">
        <v>21</v>
      </c>
    </row>
    <row r="23" spans="1:1" x14ac:dyDescent="0.2">
      <c r="A23" s="5" t="s">
        <v>22</v>
      </c>
    </row>
    <row r="24" spans="1:1" x14ac:dyDescent="0.2">
      <c r="A24" s="5" t="s">
        <v>23</v>
      </c>
    </row>
    <row r="25" spans="1:1" x14ac:dyDescent="0.2">
      <c r="A25" s="5" t="s">
        <v>24</v>
      </c>
    </row>
    <row r="26" spans="1:1" x14ac:dyDescent="0.2">
      <c r="A26" s="5" t="s">
        <v>25</v>
      </c>
    </row>
    <row r="27" spans="1:1" x14ac:dyDescent="0.2">
      <c r="A27" s="5" t="s">
        <v>26</v>
      </c>
    </row>
    <row r="28" spans="1:1" x14ac:dyDescent="0.2">
      <c r="A28" s="5" t="s">
        <v>27</v>
      </c>
    </row>
    <row r="29" spans="1:1" x14ac:dyDescent="0.2">
      <c r="A29" s="5" t="s">
        <v>28</v>
      </c>
    </row>
    <row r="30" spans="1:1" x14ac:dyDescent="0.2">
      <c r="A30" s="5" t="s">
        <v>29</v>
      </c>
    </row>
    <row r="31" spans="1:1" x14ac:dyDescent="0.2">
      <c r="A31" s="5" t="s">
        <v>30</v>
      </c>
    </row>
    <row r="32" spans="1:1" x14ac:dyDescent="0.2">
      <c r="A32" s="5" t="s">
        <v>31</v>
      </c>
    </row>
    <row r="33" spans="1:1" x14ac:dyDescent="0.2">
      <c r="A33" s="5" t="s">
        <v>32</v>
      </c>
    </row>
    <row r="34" spans="1:1" x14ac:dyDescent="0.2">
      <c r="A34" s="5" t="s">
        <v>33</v>
      </c>
    </row>
    <row r="35" spans="1:1" x14ac:dyDescent="0.2">
      <c r="A35" s="5" t="s">
        <v>34</v>
      </c>
    </row>
    <row r="36" spans="1:1" x14ac:dyDescent="0.2">
      <c r="A36" s="5" t="s">
        <v>35</v>
      </c>
    </row>
    <row r="37" spans="1:1" x14ac:dyDescent="0.2">
      <c r="A37" s="5" t="s">
        <v>36</v>
      </c>
    </row>
    <row r="38" spans="1:1" x14ac:dyDescent="0.2">
      <c r="A38" s="5" t="s">
        <v>37</v>
      </c>
    </row>
    <row r="39" spans="1:1" x14ac:dyDescent="0.2">
      <c r="A39" s="5" t="s">
        <v>38</v>
      </c>
    </row>
    <row r="40" spans="1:1" x14ac:dyDescent="0.2">
      <c r="A40" s="5" t="s">
        <v>39</v>
      </c>
    </row>
    <row r="41" spans="1:1" x14ac:dyDescent="0.2">
      <c r="A41" s="5" t="s">
        <v>40</v>
      </c>
    </row>
    <row r="42" spans="1:1" x14ac:dyDescent="0.2">
      <c r="A42" s="5" t="s">
        <v>41</v>
      </c>
    </row>
    <row r="43" spans="1:1" x14ac:dyDescent="0.2">
      <c r="A43" s="5" t="s">
        <v>42</v>
      </c>
    </row>
    <row r="44" spans="1:1" x14ac:dyDescent="0.2">
      <c r="A44" s="5" t="s">
        <v>43</v>
      </c>
    </row>
    <row r="45" spans="1:1" x14ac:dyDescent="0.2">
      <c r="A45" s="5" t="s">
        <v>44</v>
      </c>
    </row>
    <row r="46" spans="1:1" x14ac:dyDescent="0.2">
      <c r="A46" s="5" t="s">
        <v>45</v>
      </c>
    </row>
    <row r="47" spans="1:1" x14ac:dyDescent="0.2">
      <c r="A47" s="5" t="s">
        <v>46</v>
      </c>
    </row>
    <row r="48" spans="1:1" x14ac:dyDescent="0.2">
      <c r="A48" s="5" t="s">
        <v>47</v>
      </c>
    </row>
    <row r="49" spans="1:1" x14ac:dyDescent="0.2">
      <c r="A49" s="5" t="s">
        <v>48</v>
      </c>
    </row>
    <row r="50" spans="1:1" x14ac:dyDescent="0.2">
      <c r="A50" s="5" t="s">
        <v>49</v>
      </c>
    </row>
    <row r="51" spans="1:1" x14ac:dyDescent="0.2">
      <c r="A51" s="5" t="s">
        <v>50</v>
      </c>
    </row>
    <row r="52" spans="1:1" x14ac:dyDescent="0.2">
      <c r="A52" s="5" t="s">
        <v>51</v>
      </c>
    </row>
    <row r="53" spans="1:1" x14ac:dyDescent="0.2">
      <c r="A53" s="5" t="s">
        <v>52</v>
      </c>
    </row>
    <row r="54" spans="1:1" x14ac:dyDescent="0.2">
      <c r="A54" s="5" t="s">
        <v>53</v>
      </c>
    </row>
    <row r="55" spans="1:1" x14ac:dyDescent="0.2">
      <c r="A55" s="5" t="s">
        <v>54</v>
      </c>
    </row>
    <row r="56" spans="1:1" x14ac:dyDescent="0.2">
      <c r="A56" s="5" t="s">
        <v>55</v>
      </c>
    </row>
    <row r="57" spans="1:1" x14ac:dyDescent="0.2">
      <c r="A57" s="5" t="s">
        <v>56</v>
      </c>
    </row>
    <row r="58" spans="1:1" x14ac:dyDescent="0.2">
      <c r="A58" s="5" t="s">
        <v>57</v>
      </c>
    </row>
    <row r="59" spans="1:1" x14ac:dyDescent="0.2">
      <c r="A59" s="5" t="s">
        <v>58</v>
      </c>
    </row>
    <row r="60" spans="1:1" x14ac:dyDescent="0.2">
      <c r="A60" s="5" t="s">
        <v>59</v>
      </c>
    </row>
    <row r="61" spans="1:1" x14ac:dyDescent="0.2">
      <c r="A61" s="5" t="s">
        <v>60</v>
      </c>
    </row>
    <row r="62" spans="1:1" x14ac:dyDescent="0.2">
      <c r="A62" s="5" t="s">
        <v>61</v>
      </c>
    </row>
    <row r="63" spans="1:1" x14ac:dyDescent="0.2">
      <c r="A63" s="5" t="s">
        <v>62</v>
      </c>
    </row>
    <row r="64" spans="1:1" x14ac:dyDescent="0.2">
      <c r="A64" s="5" t="s">
        <v>63</v>
      </c>
    </row>
    <row r="65" spans="1:1" x14ac:dyDescent="0.2">
      <c r="A65" s="5" t="s">
        <v>64</v>
      </c>
    </row>
    <row r="66" spans="1:1" x14ac:dyDescent="0.2">
      <c r="A66" s="5" t="s">
        <v>65</v>
      </c>
    </row>
    <row r="67" spans="1:1" x14ac:dyDescent="0.2">
      <c r="A67" s="5" t="s">
        <v>66</v>
      </c>
    </row>
    <row r="68" spans="1:1" x14ac:dyDescent="0.2">
      <c r="A68" s="5" t="s">
        <v>67</v>
      </c>
    </row>
    <row r="69" spans="1:1" x14ac:dyDescent="0.2">
      <c r="A69" s="5" t="s">
        <v>68</v>
      </c>
    </row>
    <row r="70" spans="1:1" x14ac:dyDescent="0.2">
      <c r="A70" s="5" t="s">
        <v>69</v>
      </c>
    </row>
    <row r="71" spans="1:1" x14ac:dyDescent="0.2">
      <c r="A71" s="5" t="s">
        <v>70</v>
      </c>
    </row>
    <row r="72" spans="1:1" x14ac:dyDescent="0.2">
      <c r="A72" s="5" t="s">
        <v>71</v>
      </c>
    </row>
    <row r="73" spans="1:1" x14ac:dyDescent="0.2">
      <c r="A73" s="5" t="s">
        <v>72</v>
      </c>
    </row>
    <row r="74" spans="1:1" x14ac:dyDescent="0.2">
      <c r="A74" s="5" t="s">
        <v>73</v>
      </c>
    </row>
    <row r="75" spans="1:1" x14ac:dyDescent="0.2">
      <c r="A75" s="5" t="s">
        <v>74</v>
      </c>
    </row>
    <row r="76" spans="1:1" x14ac:dyDescent="0.2">
      <c r="A76" s="5" t="s">
        <v>75</v>
      </c>
    </row>
    <row r="77" spans="1:1" x14ac:dyDescent="0.2">
      <c r="A77" s="5" t="s">
        <v>76</v>
      </c>
    </row>
    <row r="78" spans="1:1" x14ac:dyDescent="0.2">
      <c r="A78" s="5" t="s">
        <v>77</v>
      </c>
    </row>
    <row r="79" spans="1:1" x14ac:dyDescent="0.2">
      <c r="A79" s="5" t="s">
        <v>78</v>
      </c>
    </row>
    <row r="80" spans="1:1" x14ac:dyDescent="0.2">
      <c r="A80" s="5" t="s">
        <v>79</v>
      </c>
    </row>
    <row r="81" spans="1:1" x14ac:dyDescent="0.2">
      <c r="A81" s="5" t="s">
        <v>80</v>
      </c>
    </row>
    <row r="82" spans="1:1" x14ac:dyDescent="0.2">
      <c r="A82" s="5" t="s">
        <v>81</v>
      </c>
    </row>
    <row r="83" spans="1:1" x14ac:dyDescent="0.2">
      <c r="A83" s="5" t="s">
        <v>82</v>
      </c>
    </row>
    <row r="84" spans="1:1" x14ac:dyDescent="0.2">
      <c r="A84" s="5" t="s">
        <v>83</v>
      </c>
    </row>
    <row r="85" spans="1:1" x14ac:dyDescent="0.2">
      <c r="A85" s="5" t="s">
        <v>84</v>
      </c>
    </row>
    <row r="86" spans="1:1" x14ac:dyDescent="0.2">
      <c r="A86" s="5" t="s">
        <v>85</v>
      </c>
    </row>
    <row r="87" spans="1:1" x14ac:dyDescent="0.2">
      <c r="A87" s="5" t="s">
        <v>86</v>
      </c>
    </row>
    <row r="88" spans="1:1" x14ac:dyDescent="0.2">
      <c r="A88" s="5" t="s">
        <v>87</v>
      </c>
    </row>
    <row r="89" spans="1:1" x14ac:dyDescent="0.2">
      <c r="A89" s="5" t="s">
        <v>88</v>
      </c>
    </row>
    <row r="90" spans="1:1" x14ac:dyDescent="0.2">
      <c r="A90" s="5" t="s">
        <v>89</v>
      </c>
    </row>
    <row r="91" spans="1:1" x14ac:dyDescent="0.2">
      <c r="A91" s="5" t="s">
        <v>90</v>
      </c>
    </row>
    <row r="92" spans="1:1" x14ac:dyDescent="0.2">
      <c r="A92" s="5" t="s">
        <v>91</v>
      </c>
    </row>
    <row r="93" spans="1:1" x14ac:dyDescent="0.2">
      <c r="A93" s="5" t="s">
        <v>92</v>
      </c>
    </row>
    <row r="94" spans="1:1" x14ac:dyDescent="0.2">
      <c r="A94" s="5" t="s">
        <v>93</v>
      </c>
    </row>
    <row r="95" spans="1:1" x14ac:dyDescent="0.2">
      <c r="A95" s="5" t="s">
        <v>94</v>
      </c>
    </row>
    <row r="96" spans="1:1" x14ac:dyDescent="0.2">
      <c r="A96" s="5" t="s">
        <v>95</v>
      </c>
    </row>
    <row r="97" spans="1:1" x14ac:dyDescent="0.2">
      <c r="A97" s="5" t="s">
        <v>96</v>
      </c>
    </row>
    <row r="98" spans="1:1" x14ac:dyDescent="0.2">
      <c r="A98" s="5" t="s">
        <v>97</v>
      </c>
    </row>
    <row r="99" spans="1:1" x14ac:dyDescent="0.2">
      <c r="A99" s="5" t="s">
        <v>98</v>
      </c>
    </row>
    <row r="100" spans="1:1" x14ac:dyDescent="0.2">
      <c r="A100" s="5" t="s">
        <v>99</v>
      </c>
    </row>
    <row r="101" spans="1:1" x14ac:dyDescent="0.2">
      <c r="A101" s="5" t="s">
        <v>100</v>
      </c>
    </row>
    <row r="102" spans="1:1" x14ac:dyDescent="0.2">
      <c r="A102" s="5" t="s">
        <v>101</v>
      </c>
    </row>
    <row r="103" spans="1:1" x14ac:dyDescent="0.2">
      <c r="A103" s="5" t="s">
        <v>102</v>
      </c>
    </row>
    <row r="104" spans="1:1" x14ac:dyDescent="0.2">
      <c r="A104" s="5" t="s">
        <v>103</v>
      </c>
    </row>
    <row r="105" spans="1:1" x14ac:dyDescent="0.2">
      <c r="A105" s="5" t="s">
        <v>104</v>
      </c>
    </row>
    <row r="106" spans="1:1" x14ac:dyDescent="0.2">
      <c r="A106" s="5" t="s">
        <v>105</v>
      </c>
    </row>
    <row r="107" spans="1:1" x14ac:dyDescent="0.2">
      <c r="A107" s="5" t="s">
        <v>106</v>
      </c>
    </row>
    <row r="108" spans="1:1" x14ac:dyDescent="0.2">
      <c r="A108" s="5" t="s">
        <v>107</v>
      </c>
    </row>
    <row r="109" spans="1:1" x14ac:dyDescent="0.2">
      <c r="A109" s="5" t="s">
        <v>108</v>
      </c>
    </row>
    <row r="110" spans="1:1" x14ac:dyDescent="0.2">
      <c r="A110" s="5" t="s">
        <v>109</v>
      </c>
    </row>
    <row r="111" spans="1:1" x14ac:dyDescent="0.2">
      <c r="A111" s="5" t="s">
        <v>110</v>
      </c>
    </row>
    <row r="112" spans="1:1" x14ac:dyDescent="0.2">
      <c r="A112" s="5" t="s">
        <v>111</v>
      </c>
    </row>
    <row r="113" spans="1:1" x14ac:dyDescent="0.2">
      <c r="A113" s="5" t="s">
        <v>112</v>
      </c>
    </row>
    <row r="114" spans="1:1" x14ac:dyDescent="0.2">
      <c r="A114" s="5" t="s">
        <v>113</v>
      </c>
    </row>
    <row r="115" spans="1:1" x14ac:dyDescent="0.2">
      <c r="A115" s="5" t="s">
        <v>114</v>
      </c>
    </row>
    <row r="116" spans="1:1" x14ac:dyDescent="0.2">
      <c r="A116" s="5" t="s">
        <v>115</v>
      </c>
    </row>
    <row r="117" spans="1:1" x14ac:dyDescent="0.2">
      <c r="A117" s="5" t="s">
        <v>116</v>
      </c>
    </row>
    <row r="118" spans="1:1" x14ac:dyDescent="0.2">
      <c r="A118" s="5" t="s">
        <v>117</v>
      </c>
    </row>
    <row r="119" spans="1:1" x14ac:dyDescent="0.2">
      <c r="A119" s="5" t="s">
        <v>118</v>
      </c>
    </row>
    <row r="120" spans="1:1" x14ac:dyDescent="0.2">
      <c r="A120" s="5" t="s">
        <v>119</v>
      </c>
    </row>
    <row r="121" spans="1:1" x14ac:dyDescent="0.2">
      <c r="A121" s="5" t="s">
        <v>120</v>
      </c>
    </row>
    <row r="122" spans="1:1" x14ac:dyDescent="0.2">
      <c r="A122" s="5" t="s">
        <v>121</v>
      </c>
    </row>
    <row r="123" spans="1:1" x14ac:dyDescent="0.2">
      <c r="A123" s="5" t="s">
        <v>122</v>
      </c>
    </row>
    <row r="124" spans="1:1" x14ac:dyDescent="0.2">
      <c r="A124" s="5" t="s">
        <v>123</v>
      </c>
    </row>
    <row r="125" spans="1:1" x14ac:dyDescent="0.2">
      <c r="A125" s="5" t="s">
        <v>124</v>
      </c>
    </row>
    <row r="126" spans="1:1" x14ac:dyDescent="0.2">
      <c r="A126" s="5" t="s">
        <v>125</v>
      </c>
    </row>
    <row r="127" spans="1:1" x14ac:dyDescent="0.2">
      <c r="A127" s="5" t="s">
        <v>126</v>
      </c>
    </row>
    <row r="128" spans="1:1" x14ac:dyDescent="0.2">
      <c r="A128" s="5" t="s">
        <v>127</v>
      </c>
    </row>
    <row r="129" spans="1:1" x14ac:dyDescent="0.2">
      <c r="A129" s="5" t="s">
        <v>128</v>
      </c>
    </row>
    <row r="130" spans="1:1" x14ac:dyDescent="0.2">
      <c r="A130" s="5" t="s">
        <v>129</v>
      </c>
    </row>
    <row r="131" spans="1:1" x14ac:dyDescent="0.2">
      <c r="A131" s="5" t="s">
        <v>130</v>
      </c>
    </row>
    <row r="132" spans="1:1" x14ac:dyDescent="0.2">
      <c r="A132" s="5" t="s">
        <v>131</v>
      </c>
    </row>
    <row r="133" spans="1:1" x14ac:dyDescent="0.2">
      <c r="A133" s="5" t="s">
        <v>132</v>
      </c>
    </row>
    <row r="134" spans="1:1" x14ac:dyDescent="0.2">
      <c r="A134" s="5" t="s">
        <v>133</v>
      </c>
    </row>
    <row r="135" spans="1:1" x14ac:dyDescent="0.2">
      <c r="A135" s="5" t="s">
        <v>134</v>
      </c>
    </row>
    <row r="136" spans="1:1" x14ac:dyDescent="0.2">
      <c r="A136" s="5" t="s">
        <v>135</v>
      </c>
    </row>
    <row r="137" spans="1:1" x14ac:dyDescent="0.2">
      <c r="A137" s="5" t="s">
        <v>136</v>
      </c>
    </row>
    <row r="138" spans="1:1" x14ac:dyDescent="0.2">
      <c r="A138" s="5" t="s">
        <v>137</v>
      </c>
    </row>
    <row r="139" spans="1:1" x14ac:dyDescent="0.2">
      <c r="A139" s="5" t="s">
        <v>138</v>
      </c>
    </row>
    <row r="140" spans="1:1" x14ac:dyDescent="0.2">
      <c r="A140" s="5" t="s">
        <v>139</v>
      </c>
    </row>
    <row r="141" spans="1:1" x14ac:dyDescent="0.2">
      <c r="A141" s="5" t="s">
        <v>140</v>
      </c>
    </row>
    <row r="142" spans="1:1" x14ac:dyDescent="0.2">
      <c r="A142" s="5" t="s">
        <v>141</v>
      </c>
    </row>
    <row r="143" spans="1:1" x14ac:dyDescent="0.2">
      <c r="A143" s="5" t="s">
        <v>142</v>
      </c>
    </row>
    <row r="144" spans="1:1" x14ac:dyDescent="0.2">
      <c r="A144" s="5" t="s">
        <v>143</v>
      </c>
    </row>
    <row r="145" spans="1:1" x14ac:dyDescent="0.2">
      <c r="A145" s="5" t="s">
        <v>144</v>
      </c>
    </row>
    <row r="146" spans="1:1" x14ac:dyDescent="0.2">
      <c r="A146" s="5" t="s">
        <v>145</v>
      </c>
    </row>
    <row r="147" spans="1:1" x14ac:dyDescent="0.2">
      <c r="A147" s="5" t="s">
        <v>146</v>
      </c>
    </row>
    <row r="148" spans="1:1" x14ac:dyDescent="0.2">
      <c r="A148" s="5" t="s">
        <v>147</v>
      </c>
    </row>
    <row r="149" spans="1:1" x14ac:dyDescent="0.2">
      <c r="A149" s="5" t="s">
        <v>148</v>
      </c>
    </row>
    <row r="150" spans="1:1" x14ac:dyDescent="0.2">
      <c r="A150" s="5" t="s">
        <v>149</v>
      </c>
    </row>
    <row r="151" spans="1:1" x14ac:dyDescent="0.2">
      <c r="A151" s="5" t="s">
        <v>150</v>
      </c>
    </row>
    <row r="152" spans="1:1" x14ac:dyDescent="0.2">
      <c r="A152" s="5" t="s">
        <v>151</v>
      </c>
    </row>
    <row r="153" spans="1:1" x14ac:dyDescent="0.2">
      <c r="A153" s="5" t="s">
        <v>152</v>
      </c>
    </row>
    <row r="154" spans="1:1" x14ac:dyDescent="0.2">
      <c r="A154" s="5" t="s">
        <v>153</v>
      </c>
    </row>
    <row r="155" spans="1:1" x14ac:dyDescent="0.2">
      <c r="A155" s="5" t="s">
        <v>154</v>
      </c>
    </row>
    <row r="156" spans="1:1" x14ac:dyDescent="0.2">
      <c r="A156" s="5" t="s">
        <v>155</v>
      </c>
    </row>
    <row r="157" spans="1:1" x14ac:dyDescent="0.2">
      <c r="A157" s="5" t="s">
        <v>156</v>
      </c>
    </row>
    <row r="158" spans="1:1" x14ac:dyDescent="0.2">
      <c r="A158" s="5" t="s">
        <v>157</v>
      </c>
    </row>
    <row r="159" spans="1:1" x14ac:dyDescent="0.2">
      <c r="A159" s="5" t="s">
        <v>158</v>
      </c>
    </row>
    <row r="160" spans="1:1" x14ac:dyDescent="0.2">
      <c r="A160" s="5" t="s">
        <v>159</v>
      </c>
    </row>
    <row r="161" spans="1:1" x14ac:dyDescent="0.2">
      <c r="A161" s="5" t="s">
        <v>160</v>
      </c>
    </row>
    <row r="162" spans="1:1" x14ac:dyDescent="0.2">
      <c r="A162" s="5" t="s">
        <v>161</v>
      </c>
    </row>
    <row r="163" spans="1:1" x14ac:dyDescent="0.2">
      <c r="A163" s="5" t="s">
        <v>162</v>
      </c>
    </row>
    <row r="164" spans="1:1" x14ac:dyDescent="0.2">
      <c r="A164" s="5" t="s">
        <v>163</v>
      </c>
    </row>
    <row r="165" spans="1:1" x14ac:dyDescent="0.2">
      <c r="A165" s="5" t="s">
        <v>164</v>
      </c>
    </row>
    <row r="166" spans="1:1" x14ac:dyDescent="0.2">
      <c r="A166" s="5" t="s">
        <v>165</v>
      </c>
    </row>
    <row r="167" spans="1:1" x14ac:dyDescent="0.2">
      <c r="A167" s="5" t="s">
        <v>166</v>
      </c>
    </row>
    <row r="168" spans="1:1" x14ac:dyDescent="0.2">
      <c r="A168" s="5" t="s">
        <v>167</v>
      </c>
    </row>
    <row r="169" spans="1:1" x14ac:dyDescent="0.2">
      <c r="A169" s="5" t="s">
        <v>168</v>
      </c>
    </row>
    <row r="170" spans="1:1" x14ac:dyDescent="0.2">
      <c r="A170" s="5" t="s">
        <v>169</v>
      </c>
    </row>
    <row r="171" spans="1:1" x14ac:dyDescent="0.2">
      <c r="A171" s="5" t="s">
        <v>170</v>
      </c>
    </row>
    <row r="172" spans="1:1" x14ac:dyDescent="0.2">
      <c r="A172" s="5" t="s">
        <v>171</v>
      </c>
    </row>
    <row r="173" spans="1:1" x14ac:dyDescent="0.2">
      <c r="A173" s="5" t="s">
        <v>172</v>
      </c>
    </row>
    <row r="174" spans="1:1" x14ac:dyDescent="0.2">
      <c r="A174" s="5" t="s">
        <v>173</v>
      </c>
    </row>
    <row r="175" spans="1:1" x14ac:dyDescent="0.2">
      <c r="A175" s="5" t="s">
        <v>174</v>
      </c>
    </row>
    <row r="176" spans="1:1" x14ac:dyDescent="0.2">
      <c r="A176" s="5" t="s">
        <v>175</v>
      </c>
    </row>
    <row r="177" spans="1:1" x14ac:dyDescent="0.2">
      <c r="A177" s="5" t="s">
        <v>176</v>
      </c>
    </row>
    <row r="178" spans="1:1" x14ac:dyDescent="0.2">
      <c r="A178" s="5" t="s">
        <v>177</v>
      </c>
    </row>
    <row r="179" spans="1:1" x14ac:dyDescent="0.2">
      <c r="A179" s="5" t="s">
        <v>178</v>
      </c>
    </row>
    <row r="180" spans="1:1" x14ac:dyDescent="0.2">
      <c r="A180" s="5" t="s">
        <v>179</v>
      </c>
    </row>
    <row r="181" spans="1:1" x14ac:dyDescent="0.2">
      <c r="A181" s="5" t="s">
        <v>180</v>
      </c>
    </row>
    <row r="182" spans="1:1" x14ac:dyDescent="0.2">
      <c r="A182" s="5" t="s">
        <v>181</v>
      </c>
    </row>
    <row r="183" spans="1:1" x14ac:dyDescent="0.2">
      <c r="A183" s="5" t="s">
        <v>182</v>
      </c>
    </row>
    <row r="184" spans="1:1" x14ac:dyDescent="0.2">
      <c r="A184" s="5" t="s">
        <v>183</v>
      </c>
    </row>
    <row r="185" spans="1:1" x14ac:dyDescent="0.2">
      <c r="A185" s="5" t="s">
        <v>184</v>
      </c>
    </row>
    <row r="186" spans="1:1" x14ac:dyDescent="0.2">
      <c r="A186" s="5" t="s">
        <v>185</v>
      </c>
    </row>
    <row r="187" spans="1:1" x14ac:dyDescent="0.2">
      <c r="A187" s="5" t="s">
        <v>186</v>
      </c>
    </row>
    <row r="188" spans="1:1" x14ac:dyDescent="0.2">
      <c r="A188" s="5" t="s">
        <v>187</v>
      </c>
    </row>
    <row r="189" spans="1:1" x14ac:dyDescent="0.2">
      <c r="A189" s="5" t="s">
        <v>188</v>
      </c>
    </row>
    <row r="190" spans="1:1" x14ac:dyDescent="0.2">
      <c r="A190" s="5" t="s">
        <v>189</v>
      </c>
    </row>
    <row r="191" spans="1:1" x14ac:dyDescent="0.2">
      <c r="A191" s="5" t="s">
        <v>190</v>
      </c>
    </row>
    <row r="192" spans="1:1" x14ac:dyDescent="0.2">
      <c r="A192" s="5" t="s">
        <v>191</v>
      </c>
    </row>
    <row r="193" spans="1:1" x14ac:dyDescent="0.2">
      <c r="A193" s="5" t="s">
        <v>192</v>
      </c>
    </row>
    <row r="194" spans="1:1" x14ac:dyDescent="0.2">
      <c r="A194" s="5" t="s">
        <v>193</v>
      </c>
    </row>
    <row r="195" spans="1:1" x14ac:dyDescent="0.2">
      <c r="A195" s="5" t="s">
        <v>194</v>
      </c>
    </row>
    <row r="196" spans="1:1" x14ac:dyDescent="0.2">
      <c r="A196" s="5" t="s">
        <v>195</v>
      </c>
    </row>
    <row r="197" spans="1:1" x14ac:dyDescent="0.2">
      <c r="A197" s="5" t="s">
        <v>196</v>
      </c>
    </row>
    <row r="198" spans="1:1" x14ac:dyDescent="0.2">
      <c r="A198" s="5" t="s">
        <v>197</v>
      </c>
    </row>
    <row r="199" spans="1:1" x14ac:dyDescent="0.2">
      <c r="A199" s="5" t="s">
        <v>198</v>
      </c>
    </row>
    <row r="200" spans="1:1" x14ac:dyDescent="0.2">
      <c r="A200" s="5" t="s">
        <v>199</v>
      </c>
    </row>
    <row r="201" spans="1:1" x14ac:dyDescent="0.2">
      <c r="A201" s="5" t="s">
        <v>200</v>
      </c>
    </row>
    <row r="202" spans="1:1" x14ac:dyDescent="0.2">
      <c r="A202" s="5" t="s">
        <v>201</v>
      </c>
    </row>
    <row r="203" spans="1:1" x14ac:dyDescent="0.2">
      <c r="A203" s="5" t="s">
        <v>202</v>
      </c>
    </row>
    <row r="204" spans="1:1" x14ac:dyDescent="0.2">
      <c r="A204" s="5" t="s">
        <v>203</v>
      </c>
    </row>
    <row r="205" spans="1:1" x14ac:dyDescent="0.2">
      <c r="A205" s="5" t="s">
        <v>204</v>
      </c>
    </row>
    <row r="206" spans="1:1" x14ac:dyDescent="0.2">
      <c r="A206" s="5" t="s">
        <v>205</v>
      </c>
    </row>
    <row r="207" spans="1:1" x14ac:dyDescent="0.2">
      <c r="A207" s="5" t="s">
        <v>206</v>
      </c>
    </row>
    <row r="208" spans="1:1" x14ac:dyDescent="0.2">
      <c r="A208" s="5" t="s">
        <v>207</v>
      </c>
    </row>
    <row r="209" spans="1:1" x14ac:dyDescent="0.2">
      <c r="A209" s="5" t="s">
        <v>208</v>
      </c>
    </row>
    <row r="210" spans="1:1" x14ac:dyDescent="0.2">
      <c r="A210" s="5" t="s">
        <v>209</v>
      </c>
    </row>
    <row r="211" spans="1:1" x14ac:dyDescent="0.2">
      <c r="A211" s="5" t="s">
        <v>210</v>
      </c>
    </row>
    <row r="212" spans="1:1" x14ac:dyDescent="0.2">
      <c r="A212" s="5" t="s">
        <v>211</v>
      </c>
    </row>
    <row r="213" spans="1:1" x14ac:dyDescent="0.2">
      <c r="A213" s="5" t="s">
        <v>212</v>
      </c>
    </row>
    <row r="214" spans="1:1" x14ac:dyDescent="0.2">
      <c r="A214" s="5" t="s">
        <v>213</v>
      </c>
    </row>
    <row r="215" spans="1:1" x14ac:dyDescent="0.2">
      <c r="A215" s="5" t="s">
        <v>214</v>
      </c>
    </row>
    <row r="216" spans="1:1" x14ac:dyDescent="0.2">
      <c r="A216" s="5" t="s">
        <v>215</v>
      </c>
    </row>
    <row r="217" spans="1:1" x14ac:dyDescent="0.2">
      <c r="A217" s="5" t="s">
        <v>216</v>
      </c>
    </row>
    <row r="218" spans="1:1" x14ac:dyDescent="0.2">
      <c r="A218" s="5" t="s">
        <v>217</v>
      </c>
    </row>
    <row r="219" spans="1:1" x14ac:dyDescent="0.2">
      <c r="A219" s="5" t="s">
        <v>218</v>
      </c>
    </row>
    <row r="220" spans="1:1" x14ac:dyDescent="0.2">
      <c r="A220" s="5" t="s">
        <v>219</v>
      </c>
    </row>
    <row r="221" spans="1:1" x14ac:dyDescent="0.2">
      <c r="A221" s="5" t="s">
        <v>220</v>
      </c>
    </row>
    <row r="222" spans="1:1" x14ac:dyDescent="0.2">
      <c r="A222" s="5" t="s">
        <v>221</v>
      </c>
    </row>
    <row r="223" spans="1:1" x14ac:dyDescent="0.2">
      <c r="A223" s="5" t="s">
        <v>222</v>
      </c>
    </row>
    <row r="224" spans="1:1" x14ac:dyDescent="0.2">
      <c r="A224" s="5" t="s">
        <v>223</v>
      </c>
    </row>
    <row r="225" spans="1:1" x14ac:dyDescent="0.2">
      <c r="A225" s="5" t="s">
        <v>224</v>
      </c>
    </row>
    <row r="226" spans="1:1" x14ac:dyDescent="0.2">
      <c r="A226" s="5" t="s">
        <v>225</v>
      </c>
    </row>
    <row r="227" spans="1:1" x14ac:dyDescent="0.2">
      <c r="A227" s="5" t="s">
        <v>226</v>
      </c>
    </row>
    <row r="228" spans="1:1" x14ac:dyDescent="0.2">
      <c r="A228" s="5" t="s">
        <v>227</v>
      </c>
    </row>
    <row r="229" spans="1:1" x14ac:dyDescent="0.2">
      <c r="A229" s="5" t="s">
        <v>228</v>
      </c>
    </row>
    <row r="230" spans="1:1" x14ac:dyDescent="0.2">
      <c r="A230" s="5" t="s">
        <v>229</v>
      </c>
    </row>
    <row r="231" spans="1:1" x14ac:dyDescent="0.2">
      <c r="A231" s="5" t="s">
        <v>230</v>
      </c>
    </row>
    <row r="232" spans="1:1" x14ac:dyDescent="0.2">
      <c r="A232" s="5" t="s">
        <v>231</v>
      </c>
    </row>
    <row r="233" spans="1:1" x14ac:dyDescent="0.2">
      <c r="A233" s="5" t="s">
        <v>232</v>
      </c>
    </row>
    <row r="234" spans="1:1" x14ac:dyDescent="0.2">
      <c r="A234" s="5" t="s">
        <v>233</v>
      </c>
    </row>
    <row r="235" spans="1:1" x14ac:dyDescent="0.2">
      <c r="A235" s="5" t="s">
        <v>234</v>
      </c>
    </row>
    <row r="236" spans="1:1" x14ac:dyDescent="0.2">
      <c r="A236" s="5" t="s">
        <v>235</v>
      </c>
    </row>
    <row r="237" spans="1:1" x14ac:dyDescent="0.2">
      <c r="A237" s="5" t="s">
        <v>236</v>
      </c>
    </row>
    <row r="238" spans="1:1" x14ac:dyDescent="0.2">
      <c r="A238" s="5" t="s">
        <v>237</v>
      </c>
    </row>
    <row r="239" spans="1:1" x14ac:dyDescent="0.2">
      <c r="A239" s="5" t="s">
        <v>238</v>
      </c>
    </row>
    <row r="240" spans="1:1" x14ac:dyDescent="0.2">
      <c r="A240" s="5" t="s">
        <v>239</v>
      </c>
    </row>
    <row r="241" spans="1:1" x14ac:dyDescent="0.2">
      <c r="A241" s="5" t="s">
        <v>240</v>
      </c>
    </row>
    <row r="242" spans="1:1" x14ac:dyDescent="0.2">
      <c r="A242" s="5" t="s">
        <v>241</v>
      </c>
    </row>
    <row r="243" spans="1:1" x14ac:dyDescent="0.2">
      <c r="A243" s="5" t="s">
        <v>242</v>
      </c>
    </row>
    <row r="244" spans="1:1" x14ac:dyDescent="0.2">
      <c r="A244" s="5" t="s">
        <v>243</v>
      </c>
    </row>
    <row r="245" spans="1:1" x14ac:dyDescent="0.2">
      <c r="A245" s="5" t="s">
        <v>244</v>
      </c>
    </row>
    <row r="246" spans="1:1" x14ac:dyDescent="0.2">
      <c r="A246" s="5" t="s">
        <v>245</v>
      </c>
    </row>
    <row r="247" spans="1:1" x14ac:dyDescent="0.2">
      <c r="A247" s="5" t="s">
        <v>246</v>
      </c>
    </row>
    <row r="248" spans="1:1" x14ac:dyDescent="0.2">
      <c r="A248" s="5" t="s">
        <v>247</v>
      </c>
    </row>
    <row r="249" spans="1:1" x14ac:dyDescent="0.2">
      <c r="A249" s="5" t="s">
        <v>248</v>
      </c>
    </row>
    <row r="250" spans="1:1" x14ac:dyDescent="0.2">
      <c r="A250" s="5" t="s">
        <v>249</v>
      </c>
    </row>
    <row r="251" spans="1:1" x14ac:dyDescent="0.2">
      <c r="A251" s="5" t="s">
        <v>250</v>
      </c>
    </row>
    <row r="252" spans="1:1" x14ac:dyDescent="0.2">
      <c r="A252" s="5" t="s">
        <v>251</v>
      </c>
    </row>
    <row r="253" spans="1:1" x14ac:dyDescent="0.2">
      <c r="A253" s="5" t="s">
        <v>252</v>
      </c>
    </row>
    <row r="254" spans="1:1" x14ac:dyDescent="0.2">
      <c r="A254" s="5" t="s">
        <v>253</v>
      </c>
    </row>
    <row r="255" spans="1:1" x14ac:dyDescent="0.2">
      <c r="A255" s="5" t="s">
        <v>254</v>
      </c>
    </row>
    <row r="256" spans="1:1" x14ac:dyDescent="0.2">
      <c r="A256" s="5" t="s">
        <v>255</v>
      </c>
    </row>
    <row r="257" spans="1:1" x14ac:dyDescent="0.2">
      <c r="A257" s="5" t="s">
        <v>256</v>
      </c>
    </row>
    <row r="258" spans="1:1" x14ac:dyDescent="0.2">
      <c r="A258" s="5" t="s">
        <v>257</v>
      </c>
    </row>
    <row r="259" spans="1:1" x14ac:dyDescent="0.2">
      <c r="A259" s="5" t="s">
        <v>258</v>
      </c>
    </row>
    <row r="260" spans="1:1" x14ac:dyDescent="0.2">
      <c r="A260" s="5" t="s">
        <v>259</v>
      </c>
    </row>
    <row r="261" spans="1:1" x14ac:dyDescent="0.2">
      <c r="A261" s="5" t="s">
        <v>260</v>
      </c>
    </row>
    <row r="262" spans="1:1" x14ac:dyDescent="0.2">
      <c r="A262" s="5" t="s">
        <v>261</v>
      </c>
    </row>
    <row r="263" spans="1:1" x14ac:dyDescent="0.2">
      <c r="A263" s="5" t="s">
        <v>262</v>
      </c>
    </row>
    <row r="264" spans="1:1" x14ac:dyDescent="0.2">
      <c r="A264" s="5" t="s">
        <v>263</v>
      </c>
    </row>
    <row r="265" spans="1:1" x14ac:dyDescent="0.2">
      <c r="A265" s="5" t="s">
        <v>264</v>
      </c>
    </row>
    <row r="266" spans="1:1" x14ac:dyDescent="0.2">
      <c r="A266" s="5" t="s">
        <v>265</v>
      </c>
    </row>
    <row r="267" spans="1:1" x14ac:dyDescent="0.2">
      <c r="A267" s="5" t="s">
        <v>266</v>
      </c>
    </row>
    <row r="268" spans="1:1" x14ac:dyDescent="0.2">
      <c r="A268" s="5" t="s">
        <v>267</v>
      </c>
    </row>
    <row r="269" spans="1:1" x14ac:dyDescent="0.2">
      <c r="A269" s="5" t="s">
        <v>268</v>
      </c>
    </row>
    <row r="270" spans="1:1" x14ac:dyDescent="0.2">
      <c r="A270" s="5" t="s">
        <v>269</v>
      </c>
    </row>
    <row r="271" spans="1:1" x14ac:dyDescent="0.2">
      <c r="A271" s="5" t="s">
        <v>270</v>
      </c>
    </row>
    <row r="272" spans="1:1" x14ac:dyDescent="0.2">
      <c r="A272" s="5" t="s">
        <v>271</v>
      </c>
    </row>
    <row r="273" spans="1:1" x14ac:dyDescent="0.2">
      <c r="A273" s="5" t="s">
        <v>272</v>
      </c>
    </row>
    <row r="274" spans="1:1" x14ac:dyDescent="0.2">
      <c r="A274" s="5" t="s">
        <v>273</v>
      </c>
    </row>
    <row r="275" spans="1:1" x14ac:dyDescent="0.2">
      <c r="A275" s="5" t="s">
        <v>274</v>
      </c>
    </row>
    <row r="276" spans="1:1" x14ac:dyDescent="0.2">
      <c r="A276" s="5" t="s">
        <v>275</v>
      </c>
    </row>
    <row r="277" spans="1:1" x14ac:dyDescent="0.2">
      <c r="A277" s="5" t="s">
        <v>276</v>
      </c>
    </row>
    <row r="278" spans="1:1" x14ac:dyDescent="0.2">
      <c r="A278" s="5" t="s">
        <v>277</v>
      </c>
    </row>
    <row r="279" spans="1:1" x14ac:dyDescent="0.2">
      <c r="A279" s="5" t="s">
        <v>278</v>
      </c>
    </row>
    <row r="280" spans="1:1" x14ac:dyDescent="0.2">
      <c r="A280" s="5" t="s">
        <v>279</v>
      </c>
    </row>
    <row r="281" spans="1:1" x14ac:dyDescent="0.2">
      <c r="A281" s="5" t="s">
        <v>280</v>
      </c>
    </row>
    <row r="282" spans="1:1" x14ac:dyDescent="0.2">
      <c r="A282" s="5" t="s">
        <v>281</v>
      </c>
    </row>
    <row r="283" spans="1:1" x14ac:dyDescent="0.2">
      <c r="A283" s="5" t="s">
        <v>282</v>
      </c>
    </row>
    <row r="284" spans="1:1" x14ac:dyDescent="0.2">
      <c r="A284" s="5" t="s">
        <v>283</v>
      </c>
    </row>
    <row r="285" spans="1:1" x14ac:dyDescent="0.2">
      <c r="A285" s="5" t="s">
        <v>284</v>
      </c>
    </row>
    <row r="286" spans="1:1" x14ac:dyDescent="0.2">
      <c r="A286" s="5" t="s">
        <v>285</v>
      </c>
    </row>
    <row r="287" spans="1:1" x14ac:dyDescent="0.2">
      <c r="A287" s="5" t="s">
        <v>286</v>
      </c>
    </row>
    <row r="288" spans="1:1" x14ac:dyDescent="0.2">
      <c r="A288" s="5" t="s">
        <v>287</v>
      </c>
    </row>
    <row r="289" spans="1:1" x14ac:dyDescent="0.2">
      <c r="A289" s="5" t="s">
        <v>288</v>
      </c>
    </row>
    <row r="290" spans="1:1" x14ac:dyDescent="0.2">
      <c r="A290" s="5" t="s">
        <v>289</v>
      </c>
    </row>
    <row r="291" spans="1:1" x14ac:dyDescent="0.2">
      <c r="A291" s="5" t="s">
        <v>290</v>
      </c>
    </row>
    <row r="292" spans="1:1" x14ac:dyDescent="0.2">
      <c r="A292" s="5" t="s">
        <v>291</v>
      </c>
    </row>
    <row r="293" spans="1:1" x14ac:dyDescent="0.2">
      <c r="A293" s="5" t="s">
        <v>292</v>
      </c>
    </row>
    <row r="294" spans="1:1" x14ac:dyDescent="0.2">
      <c r="A294" s="5" t="s">
        <v>293</v>
      </c>
    </row>
    <row r="295" spans="1:1" x14ac:dyDescent="0.2">
      <c r="A295" s="5" t="s">
        <v>294</v>
      </c>
    </row>
    <row r="296" spans="1:1" x14ac:dyDescent="0.2">
      <c r="A296" s="5" t="s">
        <v>295</v>
      </c>
    </row>
    <row r="297" spans="1:1" x14ac:dyDescent="0.2">
      <c r="A297" s="5" t="s">
        <v>296</v>
      </c>
    </row>
    <row r="298" spans="1:1" x14ac:dyDescent="0.2">
      <c r="A298" s="5" t="s">
        <v>297</v>
      </c>
    </row>
    <row r="299" spans="1:1" x14ac:dyDescent="0.2">
      <c r="A299" s="5" t="s">
        <v>298</v>
      </c>
    </row>
    <row r="300" spans="1:1" x14ac:dyDescent="0.2">
      <c r="A300" s="5" t="s">
        <v>299</v>
      </c>
    </row>
    <row r="301" spans="1:1" x14ac:dyDescent="0.2">
      <c r="A301" s="5" t="s">
        <v>300</v>
      </c>
    </row>
    <row r="302" spans="1:1" x14ac:dyDescent="0.2">
      <c r="A302" s="5" t="s">
        <v>301</v>
      </c>
    </row>
    <row r="303" spans="1:1" x14ac:dyDescent="0.2">
      <c r="A303" s="5" t="s">
        <v>302</v>
      </c>
    </row>
    <row r="304" spans="1:1" x14ac:dyDescent="0.2">
      <c r="A304" s="5" t="s">
        <v>303</v>
      </c>
    </row>
    <row r="305" spans="1:1" x14ac:dyDescent="0.2">
      <c r="A305" s="5" t="s">
        <v>304</v>
      </c>
    </row>
    <row r="306" spans="1:1" x14ac:dyDescent="0.2">
      <c r="A306" s="5" t="s">
        <v>305</v>
      </c>
    </row>
    <row r="307" spans="1:1" x14ac:dyDescent="0.2">
      <c r="A307" s="5" t="s">
        <v>306</v>
      </c>
    </row>
    <row r="308" spans="1:1" x14ac:dyDescent="0.2">
      <c r="A308" s="5" t="s">
        <v>307</v>
      </c>
    </row>
    <row r="309" spans="1:1" x14ac:dyDescent="0.2">
      <c r="A309" s="5" t="s">
        <v>308</v>
      </c>
    </row>
    <row r="310" spans="1:1" x14ac:dyDescent="0.2">
      <c r="A310" s="5" t="s">
        <v>309</v>
      </c>
    </row>
    <row r="311" spans="1:1" x14ac:dyDescent="0.2">
      <c r="A311" s="5" t="s">
        <v>310</v>
      </c>
    </row>
    <row r="312" spans="1:1" x14ac:dyDescent="0.2">
      <c r="A312" s="5" t="s">
        <v>311</v>
      </c>
    </row>
    <row r="313" spans="1:1" x14ac:dyDescent="0.2">
      <c r="A313" s="5" t="s">
        <v>312</v>
      </c>
    </row>
    <row r="314" spans="1:1" x14ac:dyDescent="0.2">
      <c r="A314" s="5" t="s">
        <v>313</v>
      </c>
    </row>
    <row r="315" spans="1:1" x14ac:dyDescent="0.2">
      <c r="A315" s="5" t="s">
        <v>314</v>
      </c>
    </row>
    <row r="316" spans="1:1" x14ac:dyDescent="0.2">
      <c r="A316" s="5" t="s">
        <v>315</v>
      </c>
    </row>
    <row r="317" spans="1:1" x14ac:dyDescent="0.2">
      <c r="A317" s="5" t="s">
        <v>316</v>
      </c>
    </row>
    <row r="318" spans="1:1" x14ac:dyDescent="0.2">
      <c r="A318" s="5" t="s">
        <v>317</v>
      </c>
    </row>
    <row r="319" spans="1:1" x14ac:dyDescent="0.2">
      <c r="A319" s="5" t="s">
        <v>318</v>
      </c>
    </row>
    <row r="320" spans="1:1" x14ac:dyDescent="0.2">
      <c r="A320" s="5" t="s">
        <v>319</v>
      </c>
    </row>
    <row r="321" spans="1:1" x14ac:dyDescent="0.2">
      <c r="A321" s="5" t="s">
        <v>320</v>
      </c>
    </row>
    <row r="322" spans="1:1" x14ac:dyDescent="0.2">
      <c r="A322" s="5" t="s">
        <v>321</v>
      </c>
    </row>
    <row r="323" spans="1:1" x14ac:dyDescent="0.2">
      <c r="A323" s="5" t="s">
        <v>322</v>
      </c>
    </row>
    <row r="324" spans="1:1" x14ac:dyDescent="0.2">
      <c r="A324" s="5" t="s">
        <v>323</v>
      </c>
    </row>
    <row r="325" spans="1:1" x14ac:dyDescent="0.2">
      <c r="A325" s="5" t="s">
        <v>324</v>
      </c>
    </row>
    <row r="326" spans="1:1" x14ac:dyDescent="0.2">
      <c r="A326" s="5" t="s">
        <v>325</v>
      </c>
    </row>
    <row r="327" spans="1:1" x14ac:dyDescent="0.2">
      <c r="A327" s="5" t="s">
        <v>326</v>
      </c>
    </row>
    <row r="328" spans="1:1" x14ac:dyDescent="0.2">
      <c r="A328" s="5" t="s">
        <v>327</v>
      </c>
    </row>
    <row r="329" spans="1:1" x14ac:dyDescent="0.2">
      <c r="A329" s="5" t="s">
        <v>328</v>
      </c>
    </row>
    <row r="330" spans="1:1" x14ac:dyDescent="0.2">
      <c r="A330" s="5" t="s">
        <v>329</v>
      </c>
    </row>
    <row r="331" spans="1:1" x14ac:dyDescent="0.2">
      <c r="A331" s="5" t="s">
        <v>330</v>
      </c>
    </row>
    <row r="332" spans="1:1" x14ac:dyDescent="0.2">
      <c r="A332" s="5" t="s">
        <v>331</v>
      </c>
    </row>
    <row r="333" spans="1:1" x14ac:dyDescent="0.2">
      <c r="A333" s="5" t="s">
        <v>332</v>
      </c>
    </row>
    <row r="334" spans="1:1" x14ac:dyDescent="0.2">
      <c r="A334" s="5" t="s">
        <v>333</v>
      </c>
    </row>
    <row r="335" spans="1:1" x14ac:dyDescent="0.2">
      <c r="A335" s="5" t="s">
        <v>334</v>
      </c>
    </row>
    <row r="336" spans="1:1" x14ac:dyDescent="0.2">
      <c r="A336" s="5" t="s">
        <v>335</v>
      </c>
    </row>
    <row r="337" spans="1:1" x14ac:dyDescent="0.2">
      <c r="A337" s="5" t="s">
        <v>336</v>
      </c>
    </row>
    <row r="338" spans="1:1" x14ac:dyDescent="0.2">
      <c r="A338" s="5" t="s">
        <v>337</v>
      </c>
    </row>
    <row r="339" spans="1:1" x14ac:dyDescent="0.2">
      <c r="A339" s="5" t="s">
        <v>338</v>
      </c>
    </row>
    <row r="340" spans="1:1" x14ac:dyDescent="0.2">
      <c r="A340" s="5" t="s">
        <v>339</v>
      </c>
    </row>
    <row r="341" spans="1:1" x14ac:dyDescent="0.2">
      <c r="A341" s="5" t="s">
        <v>340</v>
      </c>
    </row>
    <row r="342" spans="1:1" x14ac:dyDescent="0.2">
      <c r="A342" s="5" t="s">
        <v>341</v>
      </c>
    </row>
    <row r="343" spans="1:1" x14ac:dyDescent="0.2">
      <c r="A343" s="5" t="s">
        <v>342</v>
      </c>
    </row>
    <row r="344" spans="1:1" x14ac:dyDescent="0.2">
      <c r="A344" s="5" t="s">
        <v>343</v>
      </c>
    </row>
    <row r="345" spans="1:1" x14ac:dyDescent="0.2">
      <c r="A345" s="5" t="s">
        <v>344</v>
      </c>
    </row>
    <row r="346" spans="1:1" x14ac:dyDescent="0.2">
      <c r="A346" s="5" t="s">
        <v>345</v>
      </c>
    </row>
    <row r="347" spans="1:1" x14ac:dyDescent="0.2">
      <c r="A347" s="5" t="s">
        <v>346</v>
      </c>
    </row>
    <row r="348" spans="1:1" x14ac:dyDescent="0.2">
      <c r="A348" s="5" t="s">
        <v>347</v>
      </c>
    </row>
    <row r="349" spans="1:1" x14ac:dyDescent="0.2">
      <c r="A349" s="5" t="s">
        <v>348</v>
      </c>
    </row>
    <row r="350" spans="1:1" x14ac:dyDescent="0.2">
      <c r="A350" s="5" t="s">
        <v>349</v>
      </c>
    </row>
    <row r="351" spans="1:1" x14ac:dyDescent="0.2">
      <c r="A351" s="5" t="s">
        <v>350</v>
      </c>
    </row>
    <row r="352" spans="1:1" x14ac:dyDescent="0.2">
      <c r="A352" s="5" t="s">
        <v>351</v>
      </c>
    </row>
    <row r="353" spans="1:1" x14ac:dyDescent="0.2">
      <c r="A353" s="5" t="s">
        <v>352</v>
      </c>
    </row>
    <row r="354" spans="1:1" x14ac:dyDescent="0.2">
      <c r="A354" s="5" t="s">
        <v>353</v>
      </c>
    </row>
    <row r="355" spans="1:1" x14ac:dyDescent="0.2">
      <c r="A355" s="5" t="s">
        <v>354</v>
      </c>
    </row>
    <row r="356" spans="1:1" x14ac:dyDescent="0.2">
      <c r="A356" s="5" t="s">
        <v>355</v>
      </c>
    </row>
    <row r="357" spans="1:1" x14ac:dyDescent="0.2">
      <c r="A357" s="5" t="s">
        <v>356</v>
      </c>
    </row>
    <row r="358" spans="1:1" x14ac:dyDescent="0.2">
      <c r="A358" s="5" t="s">
        <v>357</v>
      </c>
    </row>
    <row r="359" spans="1:1" x14ac:dyDescent="0.2">
      <c r="A359" s="5" t="s">
        <v>358</v>
      </c>
    </row>
    <row r="360" spans="1:1" x14ac:dyDescent="0.2">
      <c r="A360" s="5" t="s">
        <v>359</v>
      </c>
    </row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8"/>
  <sheetViews>
    <sheetView tabSelected="1" workbookViewId="0"/>
  </sheetViews>
  <sheetFormatPr defaultRowHeight="12.75" x14ac:dyDescent="0.2"/>
  <cols>
    <col min="10" max="14" width="18.42578125" bestFit="1" customWidth="1"/>
  </cols>
  <sheetData>
    <row r="1" spans="2:14" x14ac:dyDescent="0.2">
      <c r="C1" s="2" t="s">
        <v>361</v>
      </c>
      <c r="D1" s="2" t="s">
        <v>362</v>
      </c>
      <c r="E1" s="2" t="s">
        <v>363</v>
      </c>
      <c r="F1" s="2" t="s">
        <v>395</v>
      </c>
      <c r="G1" s="2" t="s">
        <v>419</v>
      </c>
      <c r="H1" s="2" t="s">
        <v>385</v>
      </c>
    </row>
    <row r="2" spans="2:14" x14ac:dyDescent="0.2">
      <c r="B2" s="11">
        <v>1</v>
      </c>
      <c r="C2" s="10" t="s">
        <v>420</v>
      </c>
      <c r="D2" s="10" t="s">
        <v>374</v>
      </c>
      <c r="E2" s="10" t="s">
        <v>456</v>
      </c>
      <c r="F2" s="10" t="s">
        <v>416</v>
      </c>
      <c r="G2" s="10" t="s">
        <v>367</v>
      </c>
      <c r="H2" s="11" t="s">
        <v>381</v>
      </c>
      <c r="J2" s="19" t="str">
        <f>"group E teams "&amp;C2</f>
        <v>group E teams (J I)</v>
      </c>
      <c r="K2" t="str">
        <f>"group E teams "&amp;D2</f>
        <v>group E teams (F E)</v>
      </c>
      <c r="L2" t="str">
        <f>"group E teams "&amp;E2</f>
        <v>group E teams (H K)</v>
      </c>
      <c r="M2" t="str">
        <f>"group E teams "&amp;F2</f>
        <v>group E teams (G C)</v>
      </c>
      <c r="N2" t="str">
        <f>"group E teams "&amp;G2</f>
        <v>group E teams (D A)</v>
      </c>
    </row>
    <row r="3" spans="2:14" x14ac:dyDescent="0.2">
      <c r="B3" s="11">
        <v>2</v>
      </c>
      <c r="C3" s="10" t="s">
        <v>424</v>
      </c>
      <c r="D3" s="10" t="s">
        <v>453</v>
      </c>
      <c r="E3" s="10" t="s">
        <v>414</v>
      </c>
      <c r="F3" s="10" t="s">
        <v>426</v>
      </c>
      <c r="G3" s="10" t="s">
        <v>401</v>
      </c>
      <c r="H3" s="11" t="s">
        <v>376</v>
      </c>
      <c r="J3" t="str">
        <f>"group E teams "&amp;C3</f>
        <v>group E teams (H C)</v>
      </c>
      <c r="K3" t="str">
        <f>"group E teams "&amp;D3</f>
        <v>group E teams (K A)</v>
      </c>
      <c r="L3" t="str">
        <f>"group E teams "&amp;E3</f>
        <v>group E teams (E I)</v>
      </c>
      <c r="M3" t="str">
        <f>"group E teams "&amp;F3</f>
        <v>group E teams (J G)</v>
      </c>
      <c r="N3" t="str">
        <f t="shared" ref="N3:N12" si="0">"group E teams "&amp;G3</f>
        <v>group E teams (F B)</v>
      </c>
    </row>
    <row r="4" spans="2:14" x14ac:dyDescent="0.2">
      <c r="B4" s="11">
        <v>3</v>
      </c>
      <c r="C4" s="10" t="s">
        <v>403</v>
      </c>
      <c r="D4" s="10" t="s">
        <v>386</v>
      </c>
      <c r="E4" s="10" t="s">
        <v>427</v>
      </c>
      <c r="F4" s="10" t="s">
        <v>370</v>
      </c>
      <c r="G4" s="10" t="s">
        <v>435</v>
      </c>
      <c r="H4" s="11" t="s">
        <v>417</v>
      </c>
      <c r="J4" t="str">
        <f>"group E teams "&amp;C4</f>
        <v>group E teams (B H)</v>
      </c>
      <c r="K4" t="str">
        <f>"group E teams "&amp;D4</f>
        <v>group E teams (G F)</v>
      </c>
      <c r="L4" t="str">
        <f>"group E teams "&amp;E4</f>
        <v>group E teams (D J)</v>
      </c>
      <c r="M4" t="str">
        <f>"group E teams "&amp;F4</f>
        <v>group E teams (A E)</v>
      </c>
      <c r="N4" t="str">
        <f t="shared" si="0"/>
        <v>group E teams (C K)</v>
      </c>
    </row>
    <row r="5" spans="2:14" x14ac:dyDescent="0.2">
      <c r="B5" s="11">
        <v>4</v>
      </c>
      <c r="C5" s="10" t="s">
        <v>382</v>
      </c>
      <c r="D5" s="10" t="s">
        <v>442</v>
      </c>
      <c r="E5" s="10" t="s">
        <v>396</v>
      </c>
      <c r="F5" s="10" t="s">
        <v>373</v>
      </c>
      <c r="G5" s="10" t="s">
        <v>432</v>
      </c>
      <c r="H5" s="11" t="s">
        <v>380</v>
      </c>
      <c r="J5" t="str">
        <f>"group E teams "&amp;C5</f>
        <v>group E teams (D E)</v>
      </c>
      <c r="K5" t="str">
        <f>"group E teams "&amp;D5</f>
        <v>group E teams (J K)</v>
      </c>
      <c r="L5" t="str">
        <f>"group E teams "&amp;E5</f>
        <v>group E teams (F H)</v>
      </c>
      <c r="M5" t="str">
        <f>"group E teams "&amp;F5</f>
        <v>group E teams (B A)</v>
      </c>
      <c r="N5" t="str">
        <f t="shared" si="0"/>
        <v>group E teams (G I)</v>
      </c>
    </row>
    <row r="6" spans="2:14" x14ac:dyDescent="0.2">
      <c r="B6" s="11">
        <v>5</v>
      </c>
      <c r="C6" s="10" t="s">
        <v>434</v>
      </c>
      <c r="D6" s="10" t="s">
        <v>366</v>
      </c>
      <c r="E6" s="10" t="s">
        <v>441</v>
      </c>
      <c r="F6" s="10" t="s">
        <v>387</v>
      </c>
      <c r="G6" s="10" t="s">
        <v>398</v>
      </c>
      <c r="H6" s="11" t="s">
        <v>445</v>
      </c>
      <c r="J6" t="str">
        <f>"group E teams "&amp;C6</f>
        <v>group E teams (K B)</v>
      </c>
      <c r="K6" t="str">
        <f>"group E teams "&amp;D6</f>
        <v>group E teams (E C)</v>
      </c>
      <c r="L6" t="str">
        <f>"group E teams "&amp;E6</f>
        <v>group E teams (I A)</v>
      </c>
      <c r="M6" t="str">
        <f>"group E teams "&amp;F6</f>
        <v>group E teams (F D)</v>
      </c>
      <c r="N6" t="str">
        <f t="shared" si="0"/>
        <v>group E teams (H G)</v>
      </c>
    </row>
    <row r="7" spans="2:14" x14ac:dyDescent="0.2">
      <c r="B7" s="11">
        <v>6</v>
      </c>
      <c r="C7" s="10" t="s">
        <v>413</v>
      </c>
      <c r="D7" s="10" t="s">
        <v>407</v>
      </c>
      <c r="E7" s="10" t="s">
        <v>368</v>
      </c>
      <c r="F7" s="10" t="s">
        <v>443</v>
      </c>
      <c r="G7" s="10" t="s">
        <v>422</v>
      </c>
      <c r="H7" s="11" t="s">
        <v>418</v>
      </c>
      <c r="J7" t="str">
        <f>"group E teams "&amp;C7</f>
        <v>group E teams (I D)</v>
      </c>
      <c r="K7" t="str">
        <f>"group E teams "&amp;D7</f>
        <v>group E teams (A G)</v>
      </c>
      <c r="L7" t="str">
        <f>"group E teams "&amp;E7</f>
        <v>group E teams (C B)</v>
      </c>
      <c r="M7" t="str">
        <f>"group E teams "&amp;F7</f>
        <v>group E teams (K F)</v>
      </c>
      <c r="N7" t="str">
        <f t="shared" si="0"/>
        <v>group E teams (E J)</v>
      </c>
    </row>
    <row r="8" spans="2:14" x14ac:dyDescent="0.2">
      <c r="B8" s="11">
        <v>7</v>
      </c>
      <c r="C8" s="10" t="s">
        <v>446</v>
      </c>
      <c r="D8" s="10" t="s">
        <v>375</v>
      </c>
      <c r="E8" s="10" t="s">
        <v>399</v>
      </c>
      <c r="F8" s="10" t="s">
        <v>405</v>
      </c>
      <c r="G8" s="10" t="s">
        <v>410</v>
      </c>
      <c r="H8" s="11" t="s">
        <v>444</v>
      </c>
      <c r="J8" t="str">
        <f>"group E teams "&amp;C8</f>
        <v>group E teams (A J)</v>
      </c>
      <c r="K8" t="str">
        <f>"group E teams "&amp;D8</f>
        <v>group E teams (C D)</v>
      </c>
      <c r="L8" t="str">
        <f>"group E teams "&amp;E8</f>
        <v>group E teams (B G)</v>
      </c>
      <c r="M8" t="str">
        <f>"group E teams "&amp;F8</f>
        <v>group E teams (E H)</v>
      </c>
      <c r="N8" t="str">
        <f t="shared" si="0"/>
        <v>group E teams (I F)</v>
      </c>
    </row>
    <row r="9" spans="2:14" x14ac:dyDescent="0.2">
      <c r="B9" s="11">
        <v>8</v>
      </c>
      <c r="C9" s="10" t="s">
        <v>383</v>
      </c>
      <c r="D9" s="10" t="s">
        <v>408</v>
      </c>
      <c r="E9" s="10" t="s">
        <v>440</v>
      </c>
      <c r="F9" s="10" t="s">
        <v>371</v>
      </c>
      <c r="G9" s="10" t="s">
        <v>449</v>
      </c>
      <c r="H9" s="11" t="s">
        <v>394</v>
      </c>
      <c r="J9" t="str">
        <f>"group E teams "&amp;C9</f>
        <v>group E teams (F A)</v>
      </c>
      <c r="K9" t="str">
        <f>"group E teams "&amp;D9</f>
        <v>group E teams (H I)</v>
      </c>
      <c r="L9" t="str">
        <f>"group E teams "&amp;E9</f>
        <v>group E teams (K E)</v>
      </c>
      <c r="M9" t="str">
        <f>"group E teams "&amp;F9</f>
        <v>group E teams (D B)</v>
      </c>
      <c r="N9" t="str">
        <f t="shared" si="0"/>
        <v>group E teams (J C)</v>
      </c>
    </row>
    <row r="10" spans="2:14" x14ac:dyDescent="0.2">
      <c r="B10" s="11">
        <v>9</v>
      </c>
      <c r="C10" s="10" t="s">
        <v>455</v>
      </c>
      <c r="D10" s="10" t="s">
        <v>451</v>
      </c>
      <c r="E10" s="10" t="s">
        <v>448</v>
      </c>
      <c r="F10" s="10" t="s">
        <v>438</v>
      </c>
      <c r="G10" s="10" t="s">
        <v>412</v>
      </c>
      <c r="H10" s="11" t="s">
        <v>379</v>
      </c>
      <c r="J10" t="str">
        <f>"group E teams "&amp;C10</f>
        <v>group E teams (G K)</v>
      </c>
      <c r="K10" t="str">
        <f>"group E teams "&amp;D10</f>
        <v>group E teams (D H)</v>
      </c>
      <c r="L10" t="str">
        <f>"group E teams "&amp;E10</f>
        <v>group E teams (J F)</v>
      </c>
      <c r="M10" t="str">
        <f>"group E teams "&amp;F10</f>
        <v>group E teams (C I)</v>
      </c>
      <c r="N10" t="str">
        <f t="shared" si="0"/>
        <v>group E teams (B E)</v>
      </c>
    </row>
    <row r="11" spans="2:14" x14ac:dyDescent="0.2">
      <c r="B11" s="11">
        <v>10</v>
      </c>
      <c r="C11" s="10" t="s">
        <v>429</v>
      </c>
      <c r="D11" s="10" t="s">
        <v>430</v>
      </c>
      <c r="E11" s="10" t="s">
        <v>411</v>
      </c>
      <c r="F11" s="10" t="s">
        <v>433</v>
      </c>
      <c r="G11" s="10" t="s">
        <v>397</v>
      </c>
      <c r="H11" s="11" t="s">
        <v>378</v>
      </c>
      <c r="J11" t="str">
        <f>"group E teams "&amp;C11</f>
        <v>group E teams (C F)</v>
      </c>
      <c r="K11" t="str">
        <f>"group E teams "&amp;D11</f>
        <v>group E teams (B J)</v>
      </c>
      <c r="L11" t="str">
        <f>"group E teams "&amp;E11</f>
        <v>group E teams (G D)</v>
      </c>
      <c r="M11" t="str">
        <f>"group E teams "&amp;F11</f>
        <v>group E teams (I K)</v>
      </c>
      <c r="N11" t="str">
        <f t="shared" si="0"/>
        <v>group E teams (A H)</v>
      </c>
    </row>
    <row r="12" spans="2:14" x14ac:dyDescent="0.2">
      <c r="B12" s="11">
        <v>11</v>
      </c>
      <c r="C12" s="10" t="s">
        <v>391</v>
      </c>
      <c r="D12" s="10" t="s">
        <v>423</v>
      </c>
      <c r="E12" s="10" t="s">
        <v>390</v>
      </c>
      <c r="F12" s="10" t="s">
        <v>437</v>
      </c>
      <c r="G12" s="10" t="s">
        <v>452</v>
      </c>
      <c r="H12" s="11" t="s">
        <v>377</v>
      </c>
      <c r="J12" t="str">
        <f>"group E teams "&amp;C12</f>
        <v>group E teams (E G)</v>
      </c>
      <c r="K12" t="str">
        <f>"group E teams "&amp;D12</f>
        <v>group E teams (I B)</v>
      </c>
      <c r="L12" t="str">
        <f>"group E teams "&amp;E12</f>
        <v>group E teams (A C)</v>
      </c>
      <c r="M12" t="str">
        <f>"group E teams "&amp;F12</f>
        <v>group E teams (H J)</v>
      </c>
      <c r="N12" t="str">
        <f t="shared" si="0"/>
        <v>group E teams (K D)</v>
      </c>
    </row>
    <row r="13" spans="2:14" x14ac:dyDescent="0.2">
      <c r="B13" s="16">
        <v>1</v>
      </c>
      <c r="C13" s="17" t="s">
        <v>432</v>
      </c>
      <c r="D13" s="17" t="s">
        <v>368</v>
      </c>
      <c r="E13" s="17" t="s">
        <v>367</v>
      </c>
      <c r="F13" s="17" t="s">
        <v>431</v>
      </c>
      <c r="G13" s="17" t="s">
        <v>384</v>
      </c>
      <c r="J13" s="19" t="str">
        <f>"group A teams "&amp;C13</f>
        <v>group A teams (G I)</v>
      </c>
      <c r="K13" t="str">
        <f t="shared" ref="K13:K22" si="1">"group A teams "&amp;D13</f>
        <v>group A teams (C B)</v>
      </c>
      <c r="L13" t="str">
        <f t="shared" ref="L13:L22" si="2">"group A teams "&amp;E13</f>
        <v>group A teams (D A)</v>
      </c>
      <c r="M13" t="str">
        <f t="shared" ref="M13:M22" si="3">"group A teams "&amp;F13</f>
        <v>group A teams (J H)</v>
      </c>
      <c r="N13" t="str">
        <f t="shared" ref="N13:N22" si="4">"group A teams "&amp;G13</f>
        <v>group A teams (E F)</v>
      </c>
    </row>
    <row r="14" spans="2:14" x14ac:dyDescent="0.2">
      <c r="B14" s="16">
        <v>2</v>
      </c>
      <c r="C14" s="17" t="s">
        <v>407</v>
      </c>
      <c r="D14" s="17" t="s">
        <v>422</v>
      </c>
      <c r="E14" s="17" t="s">
        <v>413</v>
      </c>
      <c r="F14" s="17" t="s">
        <v>421</v>
      </c>
      <c r="G14" s="17" t="s">
        <v>372</v>
      </c>
      <c r="J14" t="str">
        <f t="shared" ref="J14:J22" si="5">"group A teams "&amp;C14</f>
        <v>group A teams (A G)</v>
      </c>
      <c r="K14" t="str">
        <f t="shared" si="1"/>
        <v>group A teams (E J)</v>
      </c>
      <c r="L14" t="str">
        <f t="shared" si="2"/>
        <v>group A teams (I D)</v>
      </c>
      <c r="M14" t="str">
        <f t="shared" si="3"/>
        <v>group A teams (H B)</v>
      </c>
      <c r="N14" t="str">
        <f t="shared" si="4"/>
        <v>group A teams (F C)</v>
      </c>
    </row>
    <row r="15" spans="2:14" x14ac:dyDescent="0.2">
      <c r="B15" s="16">
        <v>3</v>
      </c>
      <c r="C15" s="17" t="s">
        <v>448</v>
      </c>
      <c r="D15" s="17" t="s">
        <v>402</v>
      </c>
      <c r="E15" s="17" t="s">
        <v>391</v>
      </c>
      <c r="F15" s="17" t="s">
        <v>365</v>
      </c>
      <c r="G15" s="17" t="s">
        <v>423</v>
      </c>
      <c r="J15" t="str">
        <f t="shared" si="5"/>
        <v>group A teams (J F)</v>
      </c>
      <c r="K15" t="str">
        <f t="shared" si="1"/>
        <v>group A teams (H D)</v>
      </c>
      <c r="L15" t="str">
        <f t="shared" si="2"/>
        <v>group A teams (E G)</v>
      </c>
      <c r="M15" t="str">
        <f t="shared" si="3"/>
        <v>group A teams (C A)</v>
      </c>
      <c r="N15" t="str">
        <f t="shared" si="4"/>
        <v>group A teams (I B)</v>
      </c>
    </row>
    <row r="16" spans="2:14" x14ac:dyDescent="0.2">
      <c r="B16" s="16">
        <v>4</v>
      </c>
      <c r="C16" s="17" t="s">
        <v>427</v>
      </c>
      <c r="D16" s="17" t="s">
        <v>396</v>
      </c>
      <c r="E16" s="17" t="s">
        <v>416</v>
      </c>
      <c r="F16" s="17" t="s">
        <v>414</v>
      </c>
      <c r="G16" s="17" t="s">
        <v>373</v>
      </c>
      <c r="J16" t="str">
        <f t="shared" si="5"/>
        <v>group A teams (D J)</v>
      </c>
      <c r="K16" t="str">
        <f t="shared" si="1"/>
        <v>group A teams (F H)</v>
      </c>
      <c r="L16" t="str">
        <f t="shared" si="2"/>
        <v>group A teams (G C)</v>
      </c>
      <c r="M16" t="str">
        <f t="shared" si="3"/>
        <v>group A teams (E I)</v>
      </c>
      <c r="N16" t="str">
        <f t="shared" si="4"/>
        <v>group A teams (B A)</v>
      </c>
    </row>
    <row r="17" spans="2:14" x14ac:dyDescent="0.2">
      <c r="B17" s="16">
        <v>5</v>
      </c>
      <c r="C17" s="17" t="s">
        <v>401</v>
      </c>
      <c r="D17" s="17" t="s">
        <v>389</v>
      </c>
      <c r="E17" s="17" t="s">
        <v>404</v>
      </c>
      <c r="F17" s="17" t="s">
        <v>406</v>
      </c>
      <c r="G17" s="17" t="s">
        <v>446</v>
      </c>
      <c r="J17" t="str">
        <f t="shared" si="5"/>
        <v>group A teams (F B)</v>
      </c>
      <c r="K17" t="str">
        <f t="shared" si="1"/>
        <v>group A teams (D G)</v>
      </c>
      <c r="L17" t="str">
        <f t="shared" si="2"/>
        <v>group A teams (H E)</v>
      </c>
      <c r="M17" t="str">
        <f t="shared" si="3"/>
        <v>group A teams (I C)</v>
      </c>
      <c r="N17" t="str">
        <f t="shared" si="4"/>
        <v>group A teams (A J)</v>
      </c>
    </row>
    <row r="18" spans="2:14" x14ac:dyDescent="0.2">
      <c r="B18" s="16">
        <v>6</v>
      </c>
      <c r="C18" s="17" t="s">
        <v>447</v>
      </c>
      <c r="D18" s="17" t="s">
        <v>412</v>
      </c>
      <c r="E18" s="17" t="s">
        <v>369</v>
      </c>
      <c r="F18" s="17" t="s">
        <v>450</v>
      </c>
      <c r="G18" s="17" t="s">
        <v>375</v>
      </c>
      <c r="J18" t="str">
        <f t="shared" si="5"/>
        <v>group A teams (I H)</v>
      </c>
      <c r="K18" t="str">
        <f t="shared" si="1"/>
        <v>group A teams (B E)</v>
      </c>
      <c r="L18" t="str">
        <f t="shared" si="2"/>
        <v>group A teams (A F)</v>
      </c>
      <c r="M18" t="str">
        <f t="shared" si="3"/>
        <v>group A teams (G J)</v>
      </c>
      <c r="N18" t="str">
        <f t="shared" si="4"/>
        <v>group A teams (C D)</v>
      </c>
    </row>
    <row r="19" spans="2:14" x14ac:dyDescent="0.2">
      <c r="B19" s="16">
        <v>7</v>
      </c>
      <c r="C19" s="17" t="s">
        <v>393</v>
      </c>
      <c r="D19" s="17" t="s">
        <v>386</v>
      </c>
      <c r="E19" s="17" t="s">
        <v>400</v>
      </c>
      <c r="F19" s="17" t="s">
        <v>370</v>
      </c>
      <c r="G19" s="17" t="s">
        <v>420</v>
      </c>
      <c r="J19" t="str">
        <f t="shared" si="5"/>
        <v>group A teams (B D)</v>
      </c>
      <c r="K19" t="str">
        <f t="shared" si="1"/>
        <v>group A teams (G F)</v>
      </c>
      <c r="L19" t="str">
        <f t="shared" si="2"/>
        <v>group A teams (C H)</v>
      </c>
      <c r="M19" t="str">
        <f t="shared" si="3"/>
        <v>group A teams (A E)</v>
      </c>
      <c r="N19" t="str">
        <f t="shared" si="4"/>
        <v>group A teams (J I)</v>
      </c>
    </row>
    <row r="20" spans="2:14" x14ac:dyDescent="0.2">
      <c r="B20" s="16">
        <v>8</v>
      </c>
      <c r="C20" s="17" t="s">
        <v>415</v>
      </c>
      <c r="D20" s="17" t="s">
        <v>449</v>
      </c>
      <c r="E20" s="17" t="s">
        <v>439</v>
      </c>
      <c r="F20" s="17" t="s">
        <v>399</v>
      </c>
      <c r="G20" s="17" t="s">
        <v>382</v>
      </c>
      <c r="J20" t="str">
        <f t="shared" si="5"/>
        <v>group A teams (H A)</v>
      </c>
      <c r="K20" t="str">
        <f t="shared" si="1"/>
        <v>group A teams (J C)</v>
      </c>
      <c r="L20" t="str">
        <f t="shared" si="2"/>
        <v>group A teams (F I)</v>
      </c>
      <c r="M20" t="str">
        <f t="shared" si="3"/>
        <v>group A teams (B G)</v>
      </c>
      <c r="N20" t="str">
        <f t="shared" si="4"/>
        <v>group A teams (D E)</v>
      </c>
    </row>
    <row r="21" spans="2:14" x14ac:dyDescent="0.2">
      <c r="B21" s="16">
        <v>9</v>
      </c>
      <c r="C21" s="17" t="s">
        <v>366</v>
      </c>
      <c r="D21" s="17" t="s">
        <v>409</v>
      </c>
      <c r="E21" s="17" t="s">
        <v>436</v>
      </c>
      <c r="F21" s="17" t="s">
        <v>387</v>
      </c>
      <c r="G21" s="17" t="s">
        <v>428</v>
      </c>
      <c r="J21" t="str">
        <f t="shared" si="5"/>
        <v>group A teams (E C)</v>
      </c>
      <c r="K21" t="str">
        <f t="shared" si="1"/>
        <v>group A teams (A I)</v>
      </c>
      <c r="L21" t="str">
        <f t="shared" si="2"/>
        <v>group A teams (J B)</v>
      </c>
      <c r="M21" t="str">
        <f t="shared" si="3"/>
        <v>group A teams (F D)</v>
      </c>
      <c r="N21" t="str">
        <f t="shared" si="4"/>
        <v>group A teams (G H)</v>
      </c>
    </row>
    <row r="22" spans="2:14" x14ac:dyDescent="0.2">
      <c r="B22" s="13">
        <v>1</v>
      </c>
      <c r="C22" s="12" t="s">
        <v>432</v>
      </c>
      <c r="D22" s="12" t="s">
        <v>368</v>
      </c>
      <c r="E22" s="12" t="s">
        <v>367</v>
      </c>
      <c r="F22" s="12" t="s">
        <v>431</v>
      </c>
      <c r="G22" s="12" t="s">
        <v>384</v>
      </c>
      <c r="J22" s="19" t="str">
        <f>"group B teams "&amp;C22</f>
        <v>group B teams (G I)</v>
      </c>
      <c r="K22" t="str">
        <f t="shared" ref="K22:N22" si="6">"group B teams "&amp;D22</f>
        <v>group B teams (C B)</v>
      </c>
      <c r="L22" t="str">
        <f t="shared" si="6"/>
        <v>group B teams (D A)</v>
      </c>
      <c r="M22" t="str">
        <f t="shared" si="6"/>
        <v>group B teams (J H)</v>
      </c>
      <c r="N22" t="str">
        <f t="shared" si="6"/>
        <v>group B teams (E F)</v>
      </c>
    </row>
    <row r="23" spans="2:14" x14ac:dyDescent="0.2">
      <c r="B23" s="13">
        <v>2</v>
      </c>
      <c r="C23" s="12" t="s">
        <v>407</v>
      </c>
      <c r="D23" s="12" t="s">
        <v>422</v>
      </c>
      <c r="E23" s="12" t="s">
        <v>413</v>
      </c>
      <c r="F23" s="12" t="s">
        <v>421</v>
      </c>
      <c r="G23" s="12" t="s">
        <v>372</v>
      </c>
      <c r="J23" t="str">
        <f t="shared" ref="J23:J31" si="7">"group B teams "&amp;C23</f>
        <v>group B teams (A G)</v>
      </c>
      <c r="K23" t="str">
        <f t="shared" ref="K23:K30" si="8">"group B teams "&amp;D23</f>
        <v>group B teams (E J)</v>
      </c>
      <c r="L23" t="str">
        <f t="shared" ref="L23:L30" si="9">"group B teams "&amp;E23</f>
        <v>group B teams (I D)</v>
      </c>
      <c r="M23" t="str">
        <f t="shared" ref="M23:M30" si="10">"group B teams "&amp;F23</f>
        <v>group B teams (H B)</v>
      </c>
      <c r="N23" t="str">
        <f t="shared" ref="N23:N30" si="11">"group B teams "&amp;G23</f>
        <v>group B teams (F C)</v>
      </c>
    </row>
    <row r="24" spans="2:14" x14ac:dyDescent="0.2">
      <c r="B24" s="13">
        <v>3</v>
      </c>
      <c r="C24" s="12" t="s">
        <v>448</v>
      </c>
      <c r="D24" s="12" t="s">
        <v>402</v>
      </c>
      <c r="E24" s="12" t="s">
        <v>391</v>
      </c>
      <c r="F24" s="12" t="s">
        <v>365</v>
      </c>
      <c r="G24" s="12" t="s">
        <v>423</v>
      </c>
      <c r="J24" t="str">
        <f t="shared" si="7"/>
        <v>group B teams (J F)</v>
      </c>
      <c r="K24" t="str">
        <f t="shared" si="8"/>
        <v>group B teams (H D)</v>
      </c>
      <c r="L24" t="str">
        <f t="shared" si="9"/>
        <v>group B teams (E G)</v>
      </c>
      <c r="M24" t="str">
        <f t="shared" si="10"/>
        <v>group B teams (C A)</v>
      </c>
      <c r="N24" t="str">
        <f t="shared" si="11"/>
        <v>group B teams (I B)</v>
      </c>
    </row>
    <row r="25" spans="2:14" x14ac:dyDescent="0.2">
      <c r="B25" s="13">
        <v>4</v>
      </c>
      <c r="C25" s="12" t="s">
        <v>427</v>
      </c>
      <c r="D25" s="12" t="s">
        <v>396</v>
      </c>
      <c r="E25" s="12" t="s">
        <v>416</v>
      </c>
      <c r="F25" s="12" t="s">
        <v>414</v>
      </c>
      <c r="G25" s="12" t="s">
        <v>373</v>
      </c>
      <c r="J25" t="str">
        <f t="shared" si="7"/>
        <v>group B teams (D J)</v>
      </c>
      <c r="K25" t="str">
        <f t="shared" si="8"/>
        <v>group B teams (F H)</v>
      </c>
      <c r="L25" t="str">
        <f t="shared" si="9"/>
        <v>group B teams (G C)</v>
      </c>
      <c r="M25" t="str">
        <f t="shared" si="10"/>
        <v>group B teams (E I)</v>
      </c>
      <c r="N25" t="str">
        <f t="shared" si="11"/>
        <v>group B teams (B A)</v>
      </c>
    </row>
    <row r="26" spans="2:14" x14ac:dyDescent="0.2">
      <c r="B26" s="13">
        <v>5</v>
      </c>
      <c r="C26" s="12" t="s">
        <v>401</v>
      </c>
      <c r="D26" s="12" t="s">
        <v>389</v>
      </c>
      <c r="E26" s="12" t="s">
        <v>404</v>
      </c>
      <c r="F26" s="12" t="s">
        <v>406</v>
      </c>
      <c r="G26" s="12" t="s">
        <v>446</v>
      </c>
      <c r="J26" t="str">
        <f t="shared" si="7"/>
        <v>group B teams (F B)</v>
      </c>
      <c r="K26" t="str">
        <f t="shared" si="8"/>
        <v>group B teams (D G)</v>
      </c>
      <c r="L26" t="str">
        <f t="shared" si="9"/>
        <v>group B teams (H E)</v>
      </c>
      <c r="M26" t="str">
        <f t="shared" si="10"/>
        <v>group B teams (I C)</v>
      </c>
      <c r="N26" t="str">
        <f t="shared" si="11"/>
        <v>group B teams (A J)</v>
      </c>
    </row>
    <row r="27" spans="2:14" x14ac:dyDescent="0.2">
      <c r="B27" s="13">
        <v>6</v>
      </c>
      <c r="C27" s="12" t="s">
        <v>447</v>
      </c>
      <c r="D27" s="12" t="s">
        <v>412</v>
      </c>
      <c r="E27" s="12" t="s">
        <v>369</v>
      </c>
      <c r="F27" s="12" t="s">
        <v>450</v>
      </c>
      <c r="G27" s="12" t="s">
        <v>375</v>
      </c>
      <c r="J27" t="str">
        <f t="shared" si="7"/>
        <v>group B teams (I H)</v>
      </c>
      <c r="K27" t="str">
        <f t="shared" si="8"/>
        <v>group B teams (B E)</v>
      </c>
      <c r="L27" t="str">
        <f t="shared" si="9"/>
        <v>group B teams (A F)</v>
      </c>
      <c r="M27" t="str">
        <f t="shared" si="10"/>
        <v>group B teams (G J)</v>
      </c>
      <c r="N27" t="str">
        <f t="shared" si="11"/>
        <v>group B teams (C D)</v>
      </c>
    </row>
    <row r="28" spans="2:14" x14ac:dyDescent="0.2">
      <c r="B28" s="13">
        <v>7</v>
      </c>
      <c r="C28" s="12" t="s">
        <v>393</v>
      </c>
      <c r="D28" s="12" t="s">
        <v>386</v>
      </c>
      <c r="E28" s="12" t="s">
        <v>400</v>
      </c>
      <c r="F28" s="12" t="s">
        <v>370</v>
      </c>
      <c r="G28" s="12" t="s">
        <v>420</v>
      </c>
      <c r="J28" t="str">
        <f t="shared" si="7"/>
        <v>group B teams (B D)</v>
      </c>
      <c r="K28" t="str">
        <f t="shared" si="8"/>
        <v>group B teams (G F)</v>
      </c>
      <c r="L28" t="str">
        <f t="shared" si="9"/>
        <v>group B teams (C H)</v>
      </c>
      <c r="M28" t="str">
        <f t="shared" si="10"/>
        <v>group B teams (A E)</v>
      </c>
      <c r="N28" t="str">
        <f t="shared" si="11"/>
        <v>group B teams (J I)</v>
      </c>
    </row>
    <row r="29" spans="2:14" x14ac:dyDescent="0.2">
      <c r="B29" s="13">
        <v>8</v>
      </c>
      <c r="C29" s="12" t="s">
        <v>415</v>
      </c>
      <c r="D29" s="12" t="s">
        <v>449</v>
      </c>
      <c r="E29" s="12" t="s">
        <v>439</v>
      </c>
      <c r="F29" s="12" t="s">
        <v>399</v>
      </c>
      <c r="G29" s="12" t="s">
        <v>382</v>
      </c>
      <c r="J29" t="str">
        <f t="shared" si="7"/>
        <v>group B teams (H A)</v>
      </c>
      <c r="K29" t="str">
        <f t="shared" si="8"/>
        <v>group B teams (J C)</v>
      </c>
      <c r="L29" t="str">
        <f t="shared" si="9"/>
        <v>group B teams (F I)</v>
      </c>
      <c r="M29" t="str">
        <f t="shared" si="10"/>
        <v>group B teams (B G)</v>
      </c>
      <c r="N29" t="str">
        <f t="shared" si="11"/>
        <v>group B teams (D E)</v>
      </c>
    </row>
    <row r="30" spans="2:14" x14ac:dyDescent="0.2">
      <c r="B30" s="13">
        <v>9</v>
      </c>
      <c r="C30" s="12" t="s">
        <v>366</v>
      </c>
      <c r="D30" s="12" t="s">
        <v>409</v>
      </c>
      <c r="E30" s="12" t="s">
        <v>436</v>
      </c>
      <c r="F30" s="12" t="s">
        <v>387</v>
      </c>
      <c r="G30" s="12" t="s">
        <v>428</v>
      </c>
      <c r="J30" t="str">
        <f t="shared" si="7"/>
        <v>group B teams (E C)</v>
      </c>
      <c r="K30" t="str">
        <f t="shared" si="8"/>
        <v>group B teams (A I)</v>
      </c>
      <c r="L30" t="str">
        <f t="shared" si="9"/>
        <v>group B teams (J B)</v>
      </c>
      <c r="M30" t="str">
        <f t="shared" si="10"/>
        <v>group B teams (F D)</v>
      </c>
      <c r="N30" t="str">
        <f t="shared" si="11"/>
        <v>group B teams (G H)</v>
      </c>
    </row>
    <row r="31" spans="2:14" x14ac:dyDescent="0.2">
      <c r="B31" s="15">
        <v>1</v>
      </c>
      <c r="C31" s="14" t="s">
        <v>432</v>
      </c>
      <c r="D31" s="14" t="s">
        <v>368</v>
      </c>
      <c r="E31" s="14" t="s">
        <v>367</v>
      </c>
      <c r="F31" s="14" t="s">
        <v>431</v>
      </c>
      <c r="G31" s="14" t="s">
        <v>384</v>
      </c>
      <c r="J31" s="19" t="str">
        <f>"group C teams "&amp;C31</f>
        <v>group C teams (G I)</v>
      </c>
      <c r="K31" t="str">
        <f t="shared" ref="K31:N39" si="12">"group C teams "&amp;D31</f>
        <v>group C teams (C B)</v>
      </c>
      <c r="L31" t="str">
        <f t="shared" si="12"/>
        <v>group C teams (D A)</v>
      </c>
      <c r="M31" t="str">
        <f t="shared" si="12"/>
        <v>group C teams (J H)</v>
      </c>
      <c r="N31" t="str">
        <f t="shared" si="12"/>
        <v>group C teams (E F)</v>
      </c>
    </row>
    <row r="32" spans="2:14" x14ac:dyDescent="0.2">
      <c r="B32" s="15">
        <v>2</v>
      </c>
      <c r="C32" s="14" t="s">
        <v>407</v>
      </c>
      <c r="D32" s="14" t="s">
        <v>422</v>
      </c>
      <c r="E32" s="14" t="s">
        <v>413</v>
      </c>
      <c r="F32" s="14" t="s">
        <v>421</v>
      </c>
      <c r="G32" s="14" t="s">
        <v>372</v>
      </c>
      <c r="J32" t="str">
        <f t="shared" ref="J32:J39" si="13">"group C teams "&amp;C32</f>
        <v>group C teams (A G)</v>
      </c>
      <c r="K32" t="str">
        <f t="shared" si="12"/>
        <v>group C teams (E J)</v>
      </c>
      <c r="L32" t="str">
        <f t="shared" si="12"/>
        <v>group C teams (I D)</v>
      </c>
      <c r="M32" t="str">
        <f t="shared" si="12"/>
        <v>group C teams (H B)</v>
      </c>
      <c r="N32" t="str">
        <f t="shared" si="12"/>
        <v>group C teams (F C)</v>
      </c>
    </row>
    <row r="33" spans="2:14" x14ac:dyDescent="0.2">
      <c r="B33" s="15">
        <v>3</v>
      </c>
      <c r="C33" s="14" t="s">
        <v>448</v>
      </c>
      <c r="D33" s="14" t="s">
        <v>402</v>
      </c>
      <c r="E33" s="14" t="s">
        <v>391</v>
      </c>
      <c r="F33" s="14" t="s">
        <v>365</v>
      </c>
      <c r="G33" s="14" t="s">
        <v>423</v>
      </c>
      <c r="J33" t="str">
        <f t="shared" si="13"/>
        <v>group C teams (J F)</v>
      </c>
      <c r="K33" t="str">
        <f t="shared" si="12"/>
        <v>group C teams (H D)</v>
      </c>
      <c r="L33" t="str">
        <f t="shared" si="12"/>
        <v>group C teams (E G)</v>
      </c>
      <c r="M33" t="str">
        <f t="shared" si="12"/>
        <v>group C teams (C A)</v>
      </c>
      <c r="N33" t="str">
        <f t="shared" si="12"/>
        <v>group C teams (I B)</v>
      </c>
    </row>
    <row r="34" spans="2:14" x14ac:dyDescent="0.2">
      <c r="B34" s="15">
        <v>4</v>
      </c>
      <c r="C34" s="14" t="s">
        <v>427</v>
      </c>
      <c r="D34" s="14" t="s">
        <v>396</v>
      </c>
      <c r="E34" s="14" t="s">
        <v>416</v>
      </c>
      <c r="F34" s="14" t="s">
        <v>414</v>
      </c>
      <c r="G34" s="14" t="s">
        <v>373</v>
      </c>
      <c r="J34" t="str">
        <f t="shared" si="13"/>
        <v>group C teams (D J)</v>
      </c>
      <c r="K34" t="str">
        <f t="shared" si="12"/>
        <v>group C teams (F H)</v>
      </c>
      <c r="L34" t="str">
        <f t="shared" si="12"/>
        <v>group C teams (G C)</v>
      </c>
      <c r="M34" t="str">
        <f t="shared" si="12"/>
        <v>group C teams (E I)</v>
      </c>
      <c r="N34" t="str">
        <f t="shared" si="12"/>
        <v>group C teams (B A)</v>
      </c>
    </row>
    <row r="35" spans="2:14" x14ac:dyDescent="0.2">
      <c r="B35" s="15">
        <v>5</v>
      </c>
      <c r="C35" s="14" t="s">
        <v>401</v>
      </c>
      <c r="D35" s="14" t="s">
        <v>389</v>
      </c>
      <c r="E35" s="14" t="s">
        <v>404</v>
      </c>
      <c r="F35" s="14" t="s">
        <v>406</v>
      </c>
      <c r="G35" s="14" t="s">
        <v>446</v>
      </c>
      <c r="J35" t="str">
        <f t="shared" si="13"/>
        <v>group C teams (F B)</v>
      </c>
      <c r="K35" t="str">
        <f t="shared" si="12"/>
        <v>group C teams (D G)</v>
      </c>
      <c r="L35" t="str">
        <f t="shared" si="12"/>
        <v>group C teams (H E)</v>
      </c>
      <c r="M35" t="str">
        <f t="shared" si="12"/>
        <v>group C teams (I C)</v>
      </c>
      <c r="N35" t="str">
        <f t="shared" si="12"/>
        <v>group C teams (A J)</v>
      </c>
    </row>
    <row r="36" spans="2:14" x14ac:dyDescent="0.2">
      <c r="B36" s="15">
        <v>6</v>
      </c>
      <c r="C36" s="14" t="s">
        <v>447</v>
      </c>
      <c r="D36" s="14" t="s">
        <v>412</v>
      </c>
      <c r="E36" s="14" t="s">
        <v>369</v>
      </c>
      <c r="F36" s="14" t="s">
        <v>450</v>
      </c>
      <c r="G36" s="14" t="s">
        <v>375</v>
      </c>
      <c r="J36" t="str">
        <f t="shared" si="13"/>
        <v>group C teams (I H)</v>
      </c>
      <c r="K36" t="str">
        <f t="shared" si="12"/>
        <v>group C teams (B E)</v>
      </c>
      <c r="L36" t="str">
        <f t="shared" si="12"/>
        <v>group C teams (A F)</v>
      </c>
      <c r="M36" t="str">
        <f t="shared" si="12"/>
        <v>group C teams (G J)</v>
      </c>
      <c r="N36" t="str">
        <f t="shared" si="12"/>
        <v>group C teams (C D)</v>
      </c>
    </row>
    <row r="37" spans="2:14" x14ac:dyDescent="0.2">
      <c r="B37" s="15">
        <v>7</v>
      </c>
      <c r="C37" s="14" t="s">
        <v>393</v>
      </c>
      <c r="D37" s="14" t="s">
        <v>386</v>
      </c>
      <c r="E37" s="14" t="s">
        <v>400</v>
      </c>
      <c r="F37" s="14" t="s">
        <v>370</v>
      </c>
      <c r="G37" s="14" t="s">
        <v>420</v>
      </c>
      <c r="J37" t="str">
        <f t="shared" si="13"/>
        <v>group C teams (B D)</v>
      </c>
      <c r="K37" t="str">
        <f t="shared" si="12"/>
        <v>group C teams (G F)</v>
      </c>
      <c r="L37" t="str">
        <f t="shared" si="12"/>
        <v>group C teams (C H)</v>
      </c>
      <c r="M37" t="str">
        <f t="shared" si="12"/>
        <v>group C teams (A E)</v>
      </c>
      <c r="N37" t="str">
        <f t="shared" si="12"/>
        <v>group C teams (J I)</v>
      </c>
    </row>
    <row r="38" spans="2:14" x14ac:dyDescent="0.2">
      <c r="B38" s="15">
        <v>8</v>
      </c>
      <c r="C38" s="14" t="s">
        <v>415</v>
      </c>
      <c r="D38" s="14" t="s">
        <v>449</v>
      </c>
      <c r="E38" s="14" t="s">
        <v>439</v>
      </c>
      <c r="F38" s="14" t="s">
        <v>399</v>
      </c>
      <c r="G38" s="14" t="s">
        <v>382</v>
      </c>
      <c r="J38" t="str">
        <f t="shared" si="13"/>
        <v>group C teams (H A)</v>
      </c>
      <c r="K38" t="str">
        <f t="shared" si="12"/>
        <v>group C teams (J C)</v>
      </c>
      <c r="L38" t="str">
        <f t="shared" si="12"/>
        <v>group C teams (F I)</v>
      </c>
      <c r="M38" t="str">
        <f t="shared" si="12"/>
        <v>group C teams (B G)</v>
      </c>
      <c r="N38" t="str">
        <f t="shared" si="12"/>
        <v>group C teams (D E)</v>
      </c>
    </row>
    <row r="39" spans="2:14" x14ac:dyDescent="0.2">
      <c r="B39" s="15">
        <v>9</v>
      </c>
      <c r="C39" s="14" t="s">
        <v>366</v>
      </c>
      <c r="D39" s="14" t="s">
        <v>409</v>
      </c>
      <c r="E39" s="14" t="s">
        <v>436</v>
      </c>
      <c r="F39" s="14" t="s">
        <v>387</v>
      </c>
      <c r="G39" s="14" t="s">
        <v>428</v>
      </c>
      <c r="J39" t="str">
        <f t="shared" si="13"/>
        <v>group C teams (E C)</v>
      </c>
      <c r="K39" t="str">
        <f t="shared" si="12"/>
        <v>group C teams (A I)</v>
      </c>
      <c r="L39" t="str">
        <f t="shared" si="12"/>
        <v>group C teams (J B)</v>
      </c>
      <c r="M39" t="str">
        <f t="shared" si="12"/>
        <v>group C teams (F D)</v>
      </c>
      <c r="N39" t="str">
        <f t="shared" si="12"/>
        <v>group C teams (G H)</v>
      </c>
    </row>
    <row r="40" spans="2:14" x14ac:dyDescent="0.2">
      <c r="B40" s="20">
        <v>1</v>
      </c>
      <c r="C40" s="21" t="s">
        <v>432</v>
      </c>
      <c r="D40" s="21" t="s">
        <v>368</v>
      </c>
      <c r="E40" s="21" t="s">
        <v>367</v>
      </c>
      <c r="F40" s="21" t="s">
        <v>431</v>
      </c>
      <c r="G40" s="21" t="s">
        <v>384</v>
      </c>
      <c r="J40" s="19" t="str">
        <f>"group D teams "&amp;C40</f>
        <v>group D teams (G I)</v>
      </c>
      <c r="K40" t="str">
        <f t="shared" ref="K40:N48" si="14">"group D teams "&amp;D40</f>
        <v>group D teams (C B)</v>
      </c>
      <c r="L40" t="str">
        <f t="shared" si="14"/>
        <v>group D teams (D A)</v>
      </c>
      <c r="M40" t="str">
        <f t="shared" si="14"/>
        <v>group D teams (J H)</v>
      </c>
      <c r="N40" t="str">
        <f t="shared" si="14"/>
        <v>group D teams (E F)</v>
      </c>
    </row>
    <row r="41" spans="2:14" x14ac:dyDescent="0.2">
      <c r="B41" s="20">
        <v>2</v>
      </c>
      <c r="C41" s="21" t="s">
        <v>407</v>
      </c>
      <c r="D41" s="21" t="s">
        <v>422</v>
      </c>
      <c r="E41" s="21" t="s">
        <v>413</v>
      </c>
      <c r="F41" s="21" t="s">
        <v>421</v>
      </c>
      <c r="G41" s="21" t="s">
        <v>372</v>
      </c>
      <c r="J41" t="str">
        <f t="shared" ref="J41:J48" si="15">"group D teams "&amp;C41</f>
        <v>group D teams (A G)</v>
      </c>
      <c r="K41" t="str">
        <f t="shared" si="14"/>
        <v>group D teams (E J)</v>
      </c>
      <c r="L41" t="str">
        <f t="shared" si="14"/>
        <v>group D teams (I D)</v>
      </c>
      <c r="M41" t="str">
        <f t="shared" si="14"/>
        <v>group D teams (H B)</v>
      </c>
      <c r="N41" t="str">
        <f t="shared" si="14"/>
        <v>group D teams (F C)</v>
      </c>
    </row>
    <row r="42" spans="2:14" x14ac:dyDescent="0.2">
      <c r="B42" s="20">
        <v>3</v>
      </c>
      <c r="C42" s="21" t="s">
        <v>448</v>
      </c>
      <c r="D42" s="21" t="s">
        <v>402</v>
      </c>
      <c r="E42" s="21" t="s">
        <v>391</v>
      </c>
      <c r="F42" s="21" t="s">
        <v>365</v>
      </c>
      <c r="G42" s="21" t="s">
        <v>423</v>
      </c>
      <c r="J42" t="str">
        <f t="shared" si="15"/>
        <v>group D teams (J F)</v>
      </c>
      <c r="K42" t="str">
        <f t="shared" si="14"/>
        <v>group D teams (H D)</v>
      </c>
      <c r="L42" t="str">
        <f t="shared" si="14"/>
        <v>group D teams (E G)</v>
      </c>
      <c r="M42" t="str">
        <f t="shared" si="14"/>
        <v>group D teams (C A)</v>
      </c>
      <c r="N42" t="str">
        <f t="shared" si="14"/>
        <v>group D teams (I B)</v>
      </c>
    </row>
    <row r="43" spans="2:14" x14ac:dyDescent="0.2">
      <c r="B43" s="20">
        <v>4</v>
      </c>
      <c r="C43" s="21" t="s">
        <v>427</v>
      </c>
      <c r="D43" s="21" t="s">
        <v>396</v>
      </c>
      <c r="E43" s="21" t="s">
        <v>416</v>
      </c>
      <c r="F43" s="21" t="s">
        <v>414</v>
      </c>
      <c r="G43" s="21" t="s">
        <v>373</v>
      </c>
      <c r="J43" t="str">
        <f t="shared" si="15"/>
        <v>group D teams (D J)</v>
      </c>
      <c r="K43" t="str">
        <f t="shared" si="14"/>
        <v>group D teams (F H)</v>
      </c>
      <c r="L43" t="str">
        <f t="shared" si="14"/>
        <v>group D teams (G C)</v>
      </c>
      <c r="M43" t="str">
        <f t="shared" si="14"/>
        <v>group D teams (E I)</v>
      </c>
      <c r="N43" t="str">
        <f t="shared" si="14"/>
        <v>group D teams (B A)</v>
      </c>
    </row>
    <row r="44" spans="2:14" x14ac:dyDescent="0.2">
      <c r="B44" s="20">
        <v>5</v>
      </c>
      <c r="C44" s="21" t="s">
        <v>401</v>
      </c>
      <c r="D44" s="21" t="s">
        <v>389</v>
      </c>
      <c r="E44" s="21" t="s">
        <v>404</v>
      </c>
      <c r="F44" s="21" t="s">
        <v>406</v>
      </c>
      <c r="G44" s="21" t="s">
        <v>446</v>
      </c>
      <c r="J44" t="str">
        <f t="shared" si="15"/>
        <v>group D teams (F B)</v>
      </c>
      <c r="K44" t="str">
        <f t="shared" si="14"/>
        <v>group D teams (D G)</v>
      </c>
      <c r="L44" t="str">
        <f t="shared" si="14"/>
        <v>group D teams (H E)</v>
      </c>
      <c r="M44" t="str">
        <f t="shared" si="14"/>
        <v>group D teams (I C)</v>
      </c>
      <c r="N44" t="str">
        <f t="shared" si="14"/>
        <v>group D teams (A J)</v>
      </c>
    </row>
    <row r="45" spans="2:14" x14ac:dyDescent="0.2">
      <c r="B45" s="20">
        <v>6</v>
      </c>
      <c r="C45" s="21" t="s">
        <v>447</v>
      </c>
      <c r="D45" s="21" t="s">
        <v>412</v>
      </c>
      <c r="E45" s="21" t="s">
        <v>369</v>
      </c>
      <c r="F45" s="21" t="s">
        <v>450</v>
      </c>
      <c r="G45" s="21" t="s">
        <v>375</v>
      </c>
      <c r="J45" t="str">
        <f t="shared" si="15"/>
        <v>group D teams (I H)</v>
      </c>
      <c r="K45" t="str">
        <f t="shared" si="14"/>
        <v>group D teams (B E)</v>
      </c>
      <c r="L45" t="str">
        <f t="shared" si="14"/>
        <v>group D teams (A F)</v>
      </c>
      <c r="M45" t="str">
        <f t="shared" si="14"/>
        <v>group D teams (G J)</v>
      </c>
      <c r="N45" t="str">
        <f t="shared" si="14"/>
        <v>group D teams (C D)</v>
      </c>
    </row>
    <row r="46" spans="2:14" x14ac:dyDescent="0.2">
      <c r="B46" s="20">
        <v>7</v>
      </c>
      <c r="C46" s="21" t="s">
        <v>393</v>
      </c>
      <c r="D46" s="21" t="s">
        <v>386</v>
      </c>
      <c r="E46" s="21" t="s">
        <v>400</v>
      </c>
      <c r="F46" s="21" t="s">
        <v>370</v>
      </c>
      <c r="G46" s="21" t="s">
        <v>420</v>
      </c>
      <c r="J46" t="str">
        <f t="shared" si="15"/>
        <v>group D teams (B D)</v>
      </c>
      <c r="K46" t="str">
        <f t="shared" si="14"/>
        <v>group D teams (G F)</v>
      </c>
      <c r="L46" t="str">
        <f t="shared" si="14"/>
        <v>group D teams (C H)</v>
      </c>
      <c r="M46" t="str">
        <f t="shared" si="14"/>
        <v>group D teams (A E)</v>
      </c>
      <c r="N46" t="str">
        <f t="shared" si="14"/>
        <v>group D teams (J I)</v>
      </c>
    </row>
    <row r="47" spans="2:14" x14ac:dyDescent="0.2">
      <c r="B47" s="20">
        <v>8</v>
      </c>
      <c r="C47" s="21" t="s">
        <v>415</v>
      </c>
      <c r="D47" s="21" t="s">
        <v>449</v>
      </c>
      <c r="E47" s="21" t="s">
        <v>439</v>
      </c>
      <c r="F47" s="21" t="s">
        <v>399</v>
      </c>
      <c r="G47" s="21" t="s">
        <v>382</v>
      </c>
      <c r="J47" t="str">
        <f t="shared" si="15"/>
        <v>group D teams (H A)</v>
      </c>
      <c r="K47" t="str">
        <f t="shared" si="14"/>
        <v>group D teams (J C)</v>
      </c>
      <c r="L47" t="str">
        <f t="shared" si="14"/>
        <v>group D teams (F I)</v>
      </c>
      <c r="M47" t="str">
        <f t="shared" si="14"/>
        <v>group D teams (B G)</v>
      </c>
      <c r="N47" t="str">
        <f t="shared" si="14"/>
        <v>group D teams (D E)</v>
      </c>
    </row>
    <row r="48" spans="2:14" x14ac:dyDescent="0.2">
      <c r="B48" s="20">
        <v>9</v>
      </c>
      <c r="C48" s="21" t="s">
        <v>366</v>
      </c>
      <c r="D48" s="21" t="s">
        <v>409</v>
      </c>
      <c r="E48" s="21" t="s">
        <v>436</v>
      </c>
      <c r="F48" s="21" t="s">
        <v>387</v>
      </c>
      <c r="G48" s="21" t="s">
        <v>428</v>
      </c>
      <c r="J48" t="str">
        <f t="shared" si="15"/>
        <v>group D teams (E C)</v>
      </c>
      <c r="K48" t="str">
        <f t="shared" si="14"/>
        <v>group D teams (A I)</v>
      </c>
      <c r="L48" t="str">
        <f t="shared" si="14"/>
        <v>group D teams (J B)</v>
      </c>
      <c r="M48" t="str">
        <f t="shared" si="14"/>
        <v>group D teams (F D)</v>
      </c>
      <c r="N48" t="str">
        <f t="shared" si="14"/>
        <v>group D teams (G H)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8"/>
  <sheetViews>
    <sheetView workbookViewId="0"/>
  </sheetViews>
  <sheetFormatPr defaultRowHeight="12.75" x14ac:dyDescent="0.2"/>
  <cols>
    <col min="1" max="1" width="10.140625" bestFit="1" customWidth="1"/>
    <col min="10" max="14" width="18.42578125" bestFit="1" customWidth="1"/>
  </cols>
  <sheetData>
    <row r="1" spans="1:14" x14ac:dyDescent="0.2">
      <c r="C1" s="2" t="s">
        <v>361</v>
      </c>
      <c r="D1" s="2" t="s">
        <v>362</v>
      </c>
      <c r="E1" s="2" t="s">
        <v>363</v>
      </c>
      <c r="F1" s="2" t="s">
        <v>395</v>
      </c>
      <c r="G1" s="2" t="s">
        <v>419</v>
      </c>
      <c r="H1" s="2" t="s">
        <v>385</v>
      </c>
      <c r="J1" s="2" t="s">
        <v>361</v>
      </c>
      <c r="K1" s="2" t="s">
        <v>362</v>
      </c>
      <c r="L1" s="2" t="s">
        <v>363</v>
      </c>
      <c r="M1" s="2" t="s">
        <v>395</v>
      </c>
      <c r="N1" s="2" t="s">
        <v>419</v>
      </c>
    </row>
    <row r="2" spans="1:14" x14ac:dyDescent="0.2">
      <c r="A2" s="22"/>
      <c r="B2" s="11">
        <v>1</v>
      </c>
      <c r="C2" s="10" t="s">
        <v>420</v>
      </c>
      <c r="D2" s="10" t="s">
        <v>374</v>
      </c>
      <c r="E2" s="10" t="s">
        <v>456</v>
      </c>
      <c r="F2" s="10" t="s">
        <v>416</v>
      </c>
      <c r="G2" s="10" t="s">
        <v>367</v>
      </c>
      <c r="H2" s="11" t="s">
        <v>381</v>
      </c>
      <c r="J2" s="19" t="s">
        <v>459</v>
      </c>
      <c r="K2" t="s">
        <v>460</v>
      </c>
      <c r="L2" t="s">
        <v>461</v>
      </c>
      <c r="M2" t="s">
        <v>462</v>
      </c>
      <c r="N2" t="s">
        <v>463</v>
      </c>
    </row>
    <row r="3" spans="1:14" x14ac:dyDescent="0.2">
      <c r="B3" s="11">
        <v>2</v>
      </c>
      <c r="C3" s="10" t="s">
        <v>424</v>
      </c>
      <c r="D3" s="10" t="s">
        <v>453</v>
      </c>
      <c r="E3" s="10" t="s">
        <v>414</v>
      </c>
      <c r="F3" s="10" t="s">
        <v>426</v>
      </c>
      <c r="G3" s="10" t="s">
        <v>401</v>
      </c>
      <c r="H3" s="11" t="s">
        <v>376</v>
      </c>
      <c r="J3" t="s">
        <v>464</v>
      </c>
      <c r="K3" t="s">
        <v>465</v>
      </c>
      <c r="L3" t="s">
        <v>466</v>
      </c>
      <c r="M3" t="s">
        <v>467</v>
      </c>
      <c r="N3" t="s">
        <v>468</v>
      </c>
    </row>
    <row r="4" spans="1:14" x14ac:dyDescent="0.2">
      <c r="B4" s="11">
        <v>3</v>
      </c>
      <c r="C4" s="10" t="s">
        <v>403</v>
      </c>
      <c r="D4" s="10" t="s">
        <v>386</v>
      </c>
      <c r="E4" s="10" t="s">
        <v>427</v>
      </c>
      <c r="F4" s="10" t="s">
        <v>370</v>
      </c>
      <c r="G4" s="10" t="s">
        <v>435</v>
      </c>
      <c r="H4" s="11" t="s">
        <v>417</v>
      </c>
      <c r="J4" t="s">
        <v>469</v>
      </c>
      <c r="K4" t="s">
        <v>470</v>
      </c>
      <c r="L4" t="s">
        <v>471</v>
      </c>
      <c r="M4" t="s">
        <v>472</v>
      </c>
      <c r="N4" t="s">
        <v>473</v>
      </c>
    </row>
    <row r="5" spans="1:14" x14ac:dyDescent="0.2">
      <c r="B5" s="11">
        <v>4</v>
      </c>
      <c r="C5" s="10" t="s">
        <v>382</v>
      </c>
      <c r="D5" s="10" t="s">
        <v>442</v>
      </c>
      <c r="E5" s="10" t="s">
        <v>396</v>
      </c>
      <c r="F5" s="10" t="s">
        <v>373</v>
      </c>
      <c r="G5" s="10" t="s">
        <v>432</v>
      </c>
      <c r="H5" s="11" t="s">
        <v>380</v>
      </c>
      <c r="J5" t="s">
        <v>474</v>
      </c>
      <c r="K5" t="s">
        <v>475</v>
      </c>
      <c r="L5" t="s">
        <v>476</v>
      </c>
      <c r="M5" t="s">
        <v>477</v>
      </c>
      <c r="N5" t="s">
        <v>478</v>
      </c>
    </row>
    <row r="6" spans="1:14" x14ac:dyDescent="0.2">
      <c r="B6" s="11">
        <v>5</v>
      </c>
      <c r="C6" s="10" t="s">
        <v>434</v>
      </c>
      <c r="D6" s="10" t="s">
        <v>366</v>
      </c>
      <c r="E6" s="10" t="s">
        <v>441</v>
      </c>
      <c r="F6" s="10" t="s">
        <v>387</v>
      </c>
      <c r="G6" s="10" t="s">
        <v>398</v>
      </c>
      <c r="H6" s="11" t="s">
        <v>445</v>
      </c>
      <c r="J6" t="s">
        <v>479</v>
      </c>
      <c r="K6" t="s">
        <v>480</v>
      </c>
      <c r="L6" t="s">
        <v>481</v>
      </c>
      <c r="M6" t="s">
        <v>482</v>
      </c>
      <c r="N6" t="s">
        <v>483</v>
      </c>
    </row>
    <row r="7" spans="1:14" x14ac:dyDescent="0.2">
      <c r="B7" s="11">
        <v>6</v>
      </c>
      <c r="C7" s="10" t="s">
        <v>413</v>
      </c>
      <c r="D7" s="10" t="s">
        <v>407</v>
      </c>
      <c r="E7" s="10" t="s">
        <v>368</v>
      </c>
      <c r="F7" s="10" t="s">
        <v>443</v>
      </c>
      <c r="G7" s="10" t="s">
        <v>422</v>
      </c>
      <c r="H7" s="11" t="s">
        <v>418</v>
      </c>
      <c r="J7" t="s">
        <v>484</v>
      </c>
      <c r="K7" t="s">
        <v>485</v>
      </c>
      <c r="L7" t="s">
        <v>486</v>
      </c>
      <c r="M7" t="s">
        <v>487</v>
      </c>
      <c r="N7" t="s">
        <v>488</v>
      </c>
    </row>
    <row r="8" spans="1:14" x14ac:dyDescent="0.2">
      <c r="B8" s="11">
        <v>7</v>
      </c>
      <c r="C8" s="10" t="s">
        <v>446</v>
      </c>
      <c r="D8" s="10" t="s">
        <v>375</v>
      </c>
      <c r="E8" s="10" t="s">
        <v>399</v>
      </c>
      <c r="F8" s="10" t="s">
        <v>405</v>
      </c>
      <c r="G8" s="10" t="s">
        <v>410</v>
      </c>
      <c r="H8" s="11" t="s">
        <v>444</v>
      </c>
      <c r="J8" t="s">
        <v>489</v>
      </c>
      <c r="K8" t="s">
        <v>490</v>
      </c>
      <c r="L8" t="s">
        <v>491</v>
      </c>
      <c r="M8" t="s">
        <v>492</v>
      </c>
      <c r="N8" t="s">
        <v>493</v>
      </c>
    </row>
    <row r="9" spans="1:14" x14ac:dyDescent="0.2">
      <c r="B9" s="11">
        <v>8</v>
      </c>
      <c r="C9" s="10" t="s">
        <v>383</v>
      </c>
      <c r="D9" s="10" t="s">
        <v>408</v>
      </c>
      <c r="E9" s="10" t="s">
        <v>440</v>
      </c>
      <c r="F9" s="10" t="s">
        <v>371</v>
      </c>
      <c r="G9" s="10" t="s">
        <v>449</v>
      </c>
      <c r="H9" s="11" t="s">
        <v>394</v>
      </c>
      <c r="J9" t="s">
        <v>494</v>
      </c>
      <c r="K9" t="s">
        <v>495</v>
      </c>
      <c r="L9" t="s">
        <v>496</v>
      </c>
      <c r="M9" t="s">
        <v>497</v>
      </c>
      <c r="N9" t="s">
        <v>498</v>
      </c>
    </row>
    <row r="10" spans="1:14" x14ac:dyDescent="0.2">
      <c r="B10" s="11">
        <v>9</v>
      </c>
      <c r="C10" s="10" t="s">
        <v>455</v>
      </c>
      <c r="D10" s="10" t="s">
        <v>451</v>
      </c>
      <c r="E10" s="10" t="s">
        <v>448</v>
      </c>
      <c r="F10" s="10" t="s">
        <v>438</v>
      </c>
      <c r="G10" s="10" t="s">
        <v>412</v>
      </c>
      <c r="H10" s="11" t="s">
        <v>379</v>
      </c>
      <c r="J10" t="s">
        <v>499</v>
      </c>
      <c r="K10" t="s">
        <v>500</v>
      </c>
      <c r="L10" t="s">
        <v>501</v>
      </c>
      <c r="M10" t="s">
        <v>502</v>
      </c>
      <c r="N10" t="s">
        <v>503</v>
      </c>
    </row>
    <row r="11" spans="1:14" x14ac:dyDescent="0.2">
      <c r="B11" s="11">
        <v>10</v>
      </c>
      <c r="C11" s="10" t="s">
        <v>429</v>
      </c>
      <c r="D11" s="10" t="s">
        <v>430</v>
      </c>
      <c r="E11" s="10" t="s">
        <v>411</v>
      </c>
      <c r="F11" s="10" t="s">
        <v>433</v>
      </c>
      <c r="G11" s="10" t="s">
        <v>397</v>
      </c>
      <c r="H11" s="11" t="s">
        <v>378</v>
      </c>
      <c r="J11" t="s">
        <v>504</v>
      </c>
      <c r="K11" t="s">
        <v>505</v>
      </c>
      <c r="L11" t="s">
        <v>506</v>
      </c>
      <c r="M11" t="s">
        <v>507</v>
      </c>
      <c r="N11" t="s">
        <v>508</v>
      </c>
    </row>
    <row r="12" spans="1:14" x14ac:dyDescent="0.2">
      <c r="B12" s="11">
        <v>11</v>
      </c>
      <c r="C12" s="10" t="s">
        <v>391</v>
      </c>
      <c r="D12" s="10" t="s">
        <v>423</v>
      </c>
      <c r="E12" s="10" t="s">
        <v>390</v>
      </c>
      <c r="F12" s="10" t="s">
        <v>437</v>
      </c>
      <c r="G12" s="10" t="s">
        <v>452</v>
      </c>
      <c r="H12" s="11" t="s">
        <v>377</v>
      </c>
      <c r="J12" t="s">
        <v>509</v>
      </c>
      <c r="K12" t="s">
        <v>510</v>
      </c>
      <c r="L12" t="s">
        <v>511</v>
      </c>
      <c r="M12" t="s">
        <v>512</v>
      </c>
      <c r="N12" t="s">
        <v>513</v>
      </c>
    </row>
    <row r="13" spans="1:14" x14ac:dyDescent="0.2">
      <c r="B13" s="16">
        <v>1</v>
      </c>
      <c r="C13" s="17" t="s">
        <v>432</v>
      </c>
      <c r="D13" s="17" t="s">
        <v>368</v>
      </c>
      <c r="E13" s="17" t="s">
        <v>367</v>
      </c>
      <c r="F13" s="17" t="s">
        <v>431</v>
      </c>
      <c r="G13" s="17" t="s">
        <v>384</v>
      </c>
      <c r="J13" s="19" t="s">
        <v>458</v>
      </c>
      <c r="K13" t="s">
        <v>514</v>
      </c>
      <c r="L13" t="s">
        <v>515</v>
      </c>
      <c r="M13" t="s">
        <v>516</v>
      </c>
      <c r="N13" t="s">
        <v>517</v>
      </c>
    </row>
    <row r="14" spans="1:14" x14ac:dyDescent="0.2">
      <c r="B14" s="11">
        <v>4</v>
      </c>
      <c r="C14" s="17" t="s">
        <v>407</v>
      </c>
      <c r="D14" s="17" t="s">
        <v>422</v>
      </c>
      <c r="E14" s="17" t="s">
        <v>413</v>
      </c>
      <c r="F14" s="17" t="s">
        <v>421</v>
      </c>
      <c r="G14" s="17" t="s">
        <v>372</v>
      </c>
      <c r="J14" t="s">
        <v>518</v>
      </c>
      <c r="K14" t="s">
        <v>519</v>
      </c>
      <c r="L14" t="s">
        <v>520</v>
      </c>
      <c r="M14" t="s">
        <v>521</v>
      </c>
      <c r="N14" t="s">
        <v>522</v>
      </c>
    </row>
    <row r="15" spans="1:14" x14ac:dyDescent="0.2">
      <c r="B15" s="11">
        <v>5</v>
      </c>
      <c r="C15" s="17" t="s">
        <v>448</v>
      </c>
      <c r="D15" s="17" t="s">
        <v>402</v>
      </c>
      <c r="E15" s="17" t="s">
        <v>391</v>
      </c>
      <c r="F15" s="17" t="s">
        <v>365</v>
      </c>
      <c r="G15" s="17" t="s">
        <v>423</v>
      </c>
      <c r="J15" t="s">
        <v>523</v>
      </c>
      <c r="K15" t="s">
        <v>524</v>
      </c>
      <c r="L15" t="s">
        <v>525</v>
      </c>
      <c r="M15" t="s">
        <v>526</v>
      </c>
      <c r="N15" t="s">
        <v>527</v>
      </c>
    </row>
    <row r="16" spans="1:14" x14ac:dyDescent="0.2">
      <c r="B16" s="11">
        <v>6</v>
      </c>
      <c r="C16" s="17" t="s">
        <v>427</v>
      </c>
      <c r="D16" s="17" t="s">
        <v>396</v>
      </c>
      <c r="E16" s="17" t="s">
        <v>416</v>
      </c>
      <c r="F16" s="17" t="s">
        <v>414</v>
      </c>
      <c r="G16" s="17" t="s">
        <v>373</v>
      </c>
      <c r="J16" t="s">
        <v>528</v>
      </c>
      <c r="K16" t="s">
        <v>529</v>
      </c>
      <c r="L16" t="s">
        <v>530</v>
      </c>
      <c r="M16" t="s">
        <v>531</v>
      </c>
      <c r="N16" t="s">
        <v>532</v>
      </c>
    </row>
    <row r="17" spans="2:14" x14ac:dyDescent="0.2">
      <c r="B17" s="11">
        <v>7</v>
      </c>
      <c r="C17" s="17" t="s">
        <v>401</v>
      </c>
      <c r="D17" s="17" t="s">
        <v>389</v>
      </c>
      <c r="E17" s="17" t="s">
        <v>404</v>
      </c>
      <c r="F17" s="17" t="s">
        <v>406</v>
      </c>
      <c r="G17" s="17" t="s">
        <v>446</v>
      </c>
      <c r="J17" t="s">
        <v>533</v>
      </c>
      <c r="K17" t="s">
        <v>534</v>
      </c>
      <c r="L17" t="s">
        <v>535</v>
      </c>
      <c r="M17" t="s">
        <v>536</v>
      </c>
      <c r="N17" t="s">
        <v>537</v>
      </c>
    </row>
    <row r="18" spans="2:14" x14ac:dyDescent="0.2">
      <c r="B18" s="11">
        <v>8</v>
      </c>
      <c r="C18" s="17" t="s">
        <v>447</v>
      </c>
      <c r="D18" s="17" t="s">
        <v>412</v>
      </c>
      <c r="E18" s="17" t="s">
        <v>369</v>
      </c>
      <c r="F18" s="17" t="s">
        <v>450</v>
      </c>
      <c r="G18" s="17" t="s">
        <v>375</v>
      </c>
      <c r="J18" t="s">
        <v>538</v>
      </c>
      <c r="K18" t="s">
        <v>539</v>
      </c>
      <c r="L18" t="s">
        <v>540</v>
      </c>
      <c r="M18" t="s">
        <v>541</v>
      </c>
      <c r="N18" t="s">
        <v>542</v>
      </c>
    </row>
    <row r="19" spans="2:14" x14ac:dyDescent="0.2">
      <c r="B19" s="11">
        <v>9</v>
      </c>
      <c r="C19" s="17" t="s">
        <v>393</v>
      </c>
      <c r="D19" s="17" t="s">
        <v>386</v>
      </c>
      <c r="E19" s="17" t="s">
        <v>400</v>
      </c>
      <c r="F19" s="17" t="s">
        <v>370</v>
      </c>
      <c r="G19" s="17" t="s">
        <v>420</v>
      </c>
      <c r="J19" t="s">
        <v>543</v>
      </c>
      <c r="K19" t="s">
        <v>544</v>
      </c>
      <c r="L19" t="s">
        <v>545</v>
      </c>
      <c r="M19" t="s">
        <v>546</v>
      </c>
      <c r="N19" t="s">
        <v>547</v>
      </c>
    </row>
    <row r="20" spans="2:14" x14ac:dyDescent="0.2">
      <c r="B20" s="11">
        <v>10</v>
      </c>
      <c r="C20" s="17" t="s">
        <v>415</v>
      </c>
      <c r="D20" s="17" t="s">
        <v>449</v>
      </c>
      <c r="E20" s="17" t="s">
        <v>439</v>
      </c>
      <c r="F20" s="17" t="s">
        <v>399</v>
      </c>
      <c r="G20" s="17" t="s">
        <v>382</v>
      </c>
      <c r="J20" t="s">
        <v>548</v>
      </c>
      <c r="K20" t="s">
        <v>549</v>
      </c>
      <c r="L20" t="s">
        <v>550</v>
      </c>
      <c r="M20" t="s">
        <v>551</v>
      </c>
      <c r="N20" t="s">
        <v>552</v>
      </c>
    </row>
    <row r="21" spans="2:14" x14ac:dyDescent="0.2">
      <c r="B21" s="11">
        <v>11</v>
      </c>
      <c r="C21" s="17" t="s">
        <v>366</v>
      </c>
      <c r="D21" s="17" t="s">
        <v>409</v>
      </c>
      <c r="E21" s="17" t="s">
        <v>436</v>
      </c>
      <c r="F21" s="17" t="s">
        <v>387</v>
      </c>
      <c r="G21" s="17" t="s">
        <v>428</v>
      </c>
      <c r="J21" t="s">
        <v>553</v>
      </c>
      <c r="K21" t="s">
        <v>554</v>
      </c>
      <c r="L21" t="s">
        <v>555</v>
      </c>
      <c r="M21" t="s">
        <v>556</v>
      </c>
      <c r="N21" t="s">
        <v>557</v>
      </c>
    </row>
    <row r="22" spans="2:14" x14ac:dyDescent="0.2">
      <c r="B22" s="13">
        <v>1</v>
      </c>
      <c r="C22" s="12" t="s">
        <v>432</v>
      </c>
      <c r="D22" s="12" t="s">
        <v>368</v>
      </c>
      <c r="E22" s="12" t="s">
        <v>367</v>
      </c>
      <c r="F22" s="12" t="s">
        <v>431</v>
      </c>
      <c r="G22" s="12" t="s">
        <v>384</v>
      </c>
      <c r="J22" s="19" t="s">
        <v>558</v>
      </c>
      <c r="K22" t="s">
        <v>559</v>
      </c>
      <c r="L22" t="s">
        <v>560</v>
      </c>
      <c r="M22" t="s">
        <v>561</v>
      </c>
      <c r="N22" t="s">
        <v>562</v>
      </c>
    </row>
    <row r="23" spans="2:14" x14ac:dyDescent="0.2">
      <c r="B23" s="13">
        <v>2</v>
      </c>
      <c r="C23" s="12" t="s">
        <v>407</v>
      </c>
      <c r="D23" s="12" t="s">
        <v>422</v>
      </c>
      <c r="E23" s="12" t="s">
        <v>413</v>
      </c>
      <c r="F23" s="12" t="s">
        <v>421</v>
      </c>
      <c r="G23" s="12" t="s">
        <v>372</v>
      </c>
      <c r="J23" t="s">
        <v>563</v>
      </c>
      <c r="K23" t="s">
        <v>564</v>
      </c>
      <c r="L23" t="s">
        <v>565</v>
      </c>
      <c r="M23" t="s">
        <v>566</v>
      </c>
      <c r="N23" t="s">
        <v>567</v>
      </c>
    </row>
    <row r="24" spans="2:14" x14ac:dyDescent="0.2">
      <c r="B24" s="13">
        <v>3</v>
      </c>
      <c r="C24" s="12" t="s">
        <v>448</v>
      </c>
      <c r="D24" s="12" t="s">
        <v>402</v>
      </c>
      <c r="E24" s="12" t="s">
        <v>391</v>
      </c>
      <c r="F24" s="12" t="s">
        <v>365</v>
      </c>
      <c r="G24" s="12" t="s">
        <v>423</v>
      </c>
      <c r="J24" t="s">
        <v>568</v>
      </c>
      <c r="K24" t="s">
        <v>569</v>
      </c>
      <c r="L24" t="s">
        <v>570</v>
      </c>
      <c r="M24" t="s">
        <v>571</v>
      </c>
      <c r="N24" t="s">
        <v>572</v>
      </c>
    </row>
    <row r="25" spans="2:14" x14ac:dyDescent="0.2">
      <c r="B25" s="11">
        <v>6</v>
      </c>
      <c r="C25" s="12" t="s">
        <v>427</v>
      </c>
      <c r="D25" s="12" t="s">
        <v>396</v>
      </c>
      <c r="E25" s="12" t="s">
        <v>416</v>
      </c>
      <c r="F25" s="12" t="s">
        <v>414</v>
      </c>
      <c r="G25" s="12" t="s">
        <v>373</v>
      </c>
      <c r="J25" t="s">
        <v>573</v>
      </c>
      <c r="K25" t="s">
        <v>574</v>
      </c>
      <c r="L25" t="s">
        <v>575</v>
      </c>
      <c r="M25" t="s">
        <v>576</v>
      </c>
      <c r="N25" t="s">
        <v>577</v>
      </c>
    </row>
    <row r="26" spans="2:14" x14ac:dyDescent="0.2">
      <c r="B26" s="11">
        <v>7</v>
      </c>
      <c r="C26" s="12" t="s">
        <v>401</v>
      </c>
      <c r="D26" s="12" t="s">
        <v>389</v>
      </c>
      <c r="E26" s="12" t="s">
        <v>404</v>
      </c>
      <c r="F26" s="12" t="s">
        <v>406</v>
      </c>
      <c r="G26" s="12" t="s">
        <v>446</v>
      </c>
      <c r="J26" t="s">
        <v>578</v>
      </c>
      <c r="K26" t="s">
        <v>579</v>
      </c>
      <c r="L26" t="s">
        <v>580</v>
      </c>
      <c r="M26" t="s">
        <v>581</v>
      </c>
      <c r="N26" t="s">
        <v>582</v>
      </c>
    </row>
    <row r="27" spans="2:14" x14ac:dyDescent="0.2">
      <c r="B27" s="11">
        <v>8</v>
      </c>
      <c r="C27" s="12" t="s">
        <v>447</v>
      </c>
      <c r="D27" s="12" t="s">
        <v>412</v>
      </c>
      <c r="E27" s="12" t="s">
        <v>369</v>
      </c>
      <c r="F27" s="12" t="s">
        <v>450</v>
      </c>
      <c r="G27" s="12" t="s">
        <v>375</v>
      </c>
      <c r="J27" t="s">
        <v>583</v>
      </c>
      <c r="K27" t="s">
        <v>584</v>
      </c>
      <c r="L27" t="s">
        <v>585</v>
      </c>
      <c r="M27" t="s">
        <v>586</v>
      </c>
      <c r="N27" t="s">
        <v>587</v>
      </c>
    </row>
    <row r="28" spans="2:14" x14ac:dyDescent="0.2">
      <c r="B28" s="11">
        <v>9</v>
      </c>
      <c r="C28" s="12" t="s">
        <v>393</v>
      </c>
      <c r="D28" s="12" t="s">
        <v>386</v>
      </c>
      <c r="E28" s="12" t="s">
        <v>400</v>
      </c>
      <c r="F28" s="12" t="s">
        <v>370</v>
      </c>
      <c r="G28" s="12" t="s">
        <v>420</v>
      </c>
      <c r="J28" t="s">
        <v>588</v>
      </c>
      <c r="K28" t="s">
        <v>589</v>
      </c>
      <c r="L28" t="s">
        <v>590</v>
      </c>
      <c r="M28" t="s">
        <v>591</v>
      </c>
      <c r="N28" t="s">
        <v>592</v>
      </c>
    </row>
    <row r="29" spans="2:14" x14ac:dyDescent="0.2">
      <c r="B29" s="11">
        <v>10</v>
      </c>
      <c r="C29" s="12" t="s">
        <v>415</v>
      </c>
      <c r="D29" s="12" t="s">
        <v>449</v>
      </c>
      <c r="E29" s="12" t="s">
        <v>439</v>
      </c>
      <c r="F29" s="12" t="s">
        <v>399</v>
      </c>
      <c r="G29" s="12" t="s">
        <v>382</v>
      </c>
      <c r="J29" t="s">
        <v>593</v>
      </c>
      <c r="K29" t="s">
        <v>594</v>
      </c>
      <c r="L29" t="s">
        <v>595</v>
      </c>
      <c r="M29" t="s">
        <v>596</v>
      </c>
      <c r="N29" t="s">
        <v>597</v>
      </c>
    </row>
    <row r="30" spans="2:14" x14ac:dyDescent="0.2">
      <c r="B30" s="11">
        <v>11</v>
      </c>
      <c r="C30" s="12" t="s">
        <v>366</v>
      </c>
      <c r="D30" s="12" t="s">
        <v>409</v>
      </c>
      <c r="E30" s="12" t="s">
        <v>436</v>
      </c>
      <c r="F30" s="12" t="s">
        <v>387</v>
      </c>
      <c r="G30" s="12" t="s">
        <v>428</v>
      </c>
      <c r="J30" t="s">
        <v>598</v>
      </c>
      <c r="K30" t="s">
        <v>599</v>
      </c>
      <c r="L30" t="s">
        <v>600</v>
      </c>
      <c r="M30" t="s">
        <v>601</v>
      </c>
      <c r="N30" t="s">
        <v>602</v>
      </c>
    </row>
    <row r="31" spans="2:14" x14ac:dyDescent="0.2">
      <c r="B31" s="15">
        <v>1</v>
      </c>
      <c r="C31" s="14" t="s">
        <v>432</v>
      </c>
      <c r="D31" s="14" t="s">
        <v>368</v>
      </c>
      <c r="E31" s="14" t="s">
        <v>367</v>
      </c>
      <c r="F31" s="14" t="s">
        <v>431</v>
      </c>
      <c r="G31" s="14" t="s">
        <v>384</v>
      </c>
      <c r="J31" s="19" t="s">
        <v>603</v>
      </c>
      <c r="K31" t="s">
        <v>604</v>
      </c>
      <c r="L31" t="s">
        <v>605</v>
      </c>
      <c r="M31" t="s">
        <v>606</v>
      </c>
      <c r="N31" t="s">
        <v>607</v>
      </c>
    </row>
    <row r="32" spans="2:14" x14ac:dyDescent="0.2">
      <c r="B32" s="15">
        <v>2</v>
      </c>
      <c r="C32" s="14" t="s">
        <v>407</v>
      </c>
      <c r="D32" s="14" t="s">
        <v>422</v>
      </c>
      <c r="E32" s="14" t="s">
        <v>413</v>
      </c>
      <c r="F32" s="14" t="s">
        <v>421</v>
      </c>
      <c r="G32" s="14" t="s">
        <v>372</v>
      </c>
      <c r="J32" t="s">
        <v>608</v>
      </c>
      <c r="K32" t="s">
        <v>609</v>
      </c>
      <c r="L32" t="s">
        <v>610</v>
      </c>
      <c r="M32" t="s">
        <v>611</v>
      </c>
      <c r="N32" t="s">
        <v>612</v>
      </c>
    </row>
    <row r="33" spans="2:14" x14ac:dyDescent="0.2">
      <c r="B33" s="15">
        <v>3</v>
      </c>
      <c r="C33" s="14" t="s">
        <v>448</v>
      </c>
      <c r="D33" s="14" t="s">
        <v>402</v>
      </c>
      <c r="E33" s="14" t="s">
        <v>391</v>
      </c>
      <c r="F33" s="14" t="s">
        <v>365</v>
      </c>
      <c r="G33" s="14" t="s">
        <v>423</v>
      </c>
      <c r="J33" t="s">
        <v>613</v>
      </c>
      <c r="K33" t="s">
        <v>614</v>
      </c>
      <c r="L33" t="s">
        <v>615</v>
      </c>
      <c r="M33" t="s">
        <v>616</v>
      </c>
      <c r="N33" t="s">
        <v>617</v>
      </c>
    </row>
    <row r="34" spans="2:14" x14ac:dyDescent="0.2">
      <c r="B34" s="15">
        <v>4</v>
      </c>
      <c r="C34" s="14" t="s">
        <v>427</v>
      </c>
      <c r="D34" s="14" t="s">
        <v>396</v>
      </c>
      <c r="E34" s="14" t="s">
        <v>416</v>
      </c>
      <c r="F34" s="14" t="s">
        <v>414</v>
      </c>
      <c r="G34" s="14" t="s">
        <v>373</v>
      </c>
      <c r="J34" t="s">
        <v>618</v>
      </c>
      <c r="K34" t="s">
        <v>619</v>
      </c>
      <c r="L34" t="s">
        <v>620</v>
      </c>
      <c r="M34" t="s">
        <v>621</v>
      </c>
      <c r="N34" t="s">
        <v>622</v>
      </c>
    </row>
    <row r="35" spans="2:14" x14ac:dyDescent="0.2">
      <c r="B35" s="15">
        <v>5</v>
      </c>
      <c r="C35" s="14" t="s">
        <v>401</v>
      </c>
      <c r="D35" s="14" t="s">
        <v>389</v>
      </c>
      <c r="E35" s="14" t="s">
        <v>404</v>
      </c>
      <c r="F35" s="14" t="s">
        <v>406</v>
      </c>
      <c r="G35" s="14" t="s">
        <v>446</v>
      </c>
      <c r="J35" t="s">
        <v>623</v>
      </c>
      <c r="K35" t="s">
        <v>624</v>
      </c>
      <c r="L35" t="s">
        <v>625</v>
      </c>
      <c r="M35" t="s">
        <v>626</v>
      </c>
      <c r="N35" t="s">
        <v>627</v>
      </c>
    </row>
    <row r="36" spans="2:14" x14ac:dyDescent="0.2">
      <c r="B36" s="11">
        <v>8</v>
      </c>
      <c r="C36" s="14" t="s">
        <v>447</v>
      </c>
      <c r="D36" s="14" t="s">
        <v>412</v>
      </c>
      <c r="E36" s="14" t="s">
        <v>369</v>
      </c>
      <c r="F36" s="14" t="s">
        <v>450</v>
      </c>
      <c r="G36" s="14" t="s">
        <v>375</v>
      </c>
      <c r="J36" t="s">
        <v>628</v>
      </c>
      <c r="K36" t="s">
        <v>629</v>
      </c>
      <c r="L36" t="s">
        <v>630</v>
      </c>
      <c r="M36" t="s">
        <v>631</v>
      </c>
      <c r="N36" t="s">
        <v>632</v>
      </c>
    </row>
    <row r="37" spans="2:14" x14ac:dyDescent="0.2">
      <c r="B37" s="11">
        <v>9</v>
      </c>
      <c r="C37" s="14" t="s">
        <v>393</v>
      </c>
      <c r="D37" s="14" t="s">
        <v>386</v>
      </c>
      <c r="E37" s="14" t="s">
        <v>400</v>
      </c>
      <c r="F37" s="14" t="s">
        <v>370</v>
      </c>
      <c r="G37" s="14" t="s">
        <v>420</v>
      </c>
      <c r="J37" t="s">
        <v>633</v>
      </c>
      <c r="K37" t="s">
        <v>634</v>
      </c>
      <c r="L37" t="s">
        <v>635</v>
      </c>
      <c r="M37" t="s">
        <v>636</v>
      </c>
      <c r="N37" t="s">
        <v>637</v>
      </c>
    </row>
    <row r="38" spans="2:14" x14ac:dyDescent="0.2">
      <c r="B38" s="11">
        <v>10</v>
      </c>
      <c r="C38" s="14" t="s">
        <v>415</v>
      </c>
      <c r="D38" s="14" t="s">
        <v>449</v>
      </c>
      <c r="E38" s="14" t="s">
        <v>439</v>
      </c>
      <c r="F38" s="14" t="s">
        <v>399</v>
      </c>
      <c r="G38" s="14" t="s">
        <v>382</v>
      </c>
      <c r="J38" t="s">
        <v>638</v>
      </c>
      <c r="K38" t="s">
        <v>639</v>
      </c>
      <c r="L38" t="s">
        <v>640</v>
      </c>
      <c r="M38" t="s">
        <v>641</v>
      </c>
      <c r="N38" t="s">
        <v>642</v>
      </c>
    </row>
    <row r="39" spans="2:14" x14ac:dyDescent="0.2">
      <c r="B39" s="11">
        <v>11</v>
      </c>
      <c r="C39" s="14" t="s">
        <v>366</v>
      </c>
      <c r="D39" s="14" t="s">
        <v>409</v>
      </c>
      <c r="E39" s="14" t="s">
        <v>436</v>
      </c>
      <c r="F39" s="14" t="s">
        <v>387</v>
      </c>
      <c r="G39" s="14" t="s">
        <v>428</v>
      </c>
      <c r="J39" t="s">
        <v>643</v>
      </c>
      <c r="K39" t="s">
        <v>644</v>
      </c>
      <c r="L39" t="s">
        <v>645</v>
      </c>
      <c r="M39" t="s">
        <v>646</v>
      </c>
      <c r="N39" t="s">
        <v>647</v>
      </c>
    </row>
    <row r="40" spans="2:14" x14ac:dyDescent="0.2">
      <c r="B40" s="20">
        <v>1</v>
      </c>
      <c r="C40" s="21" t="s">
        <v>432</v>
      </c>
      <c r="D40" s="21" t="s">
        <v>368</v>
      </c>
      <c r="E40" s="21" t="s">
        <v>367</v>
      </c>
      <c r="F40" s="21" t="s">
        <v>431</v>
      </c>
      <c r="G40" s="21" t="s">
        <v>384</v>
      </c>
      <c r="J40" s="19" t="s">
        <v>648</v>
      </c>
      <c r="K40" t="s">
        <v>649</v>
      </c>
      <c r="L40" t="s">
        <v>650</v>
      </c>
      <c r="M40" t="s">
        <v>651</v>
      </c>
      <c r="N40" t="s">
        <v>652</v>
      </c>
    </row>
    <row r="41" spans="2:14" x14ac:dyDescent="0.2">
      <c r="B41" s="20">
        <v>2</v>
      </c>
      <c r="C41" s="21" t="s">
        <v>407</v>
      </c>
      <c r="D41" s="21" t="s">
        <v>422</v>
      </c>
      <c r="E41" s="21" t="s">
        <v>413</v>
      </c>
      <c r="F41" s="21" t="s">
        <v>421</v>
      </c>
      <c r="G41" s="21" t="s">
        <v>372</v>
      </c>
      <c r="J41" t="s">
        <v>653</v>
      </c>
      <c r="K41" t="s">
        <v>654</v>
      </c>
      <c r="L41" t="s">
        <v>655</v>
      </c>
      <c r="M41" t="s">
        <v>656</v>
      </c>
      <c r="N41" t="s">
        <v>657</v>
      </c>
    </row>
    <row r="42" spans="2:14" x14ac:dyDescent="0.2">
      <c r="B42" s="20">
        <v>3</v>
      </c>
      <c r="C42" s="21" t="s">
        <v>448</v>
      </c>
      <c r="D42" s="21" t="s">
        <v>402</v>
      </c>
      <c r="E42" s="21" t="s">
        <v>391</v>
      </c>
      <c r="F42" s="21" t="s">
        <v>365</v>
      </c>
      <c r="G42" s="21" t="s">
        <v>423</v>
      </c>
      <c r="J42" t="s">
        <v>658</v>
      </c>
      <c r="K42" t="s">
        <v>659</v>
      </c>
      <c r="L42" t="s">
        <v>660</v>
      </c>
      <c r="M42" t="s">
        <v>661</v>
      </c>
      <c r="N42" t="s">
        <v>662</v>
      </c>
    </row>
    <row r="43" spans="2:14" x14ac:dyDescent="0.2">
      <c r="B43" s="20">
        <v>4</v>
      </c>
      <c r="C43" s="21" t="s">
        <v>427</v>
      </c>
      <c r="D43" s="21" t="s">
        <v>396</v>
      </c>
      <c r="E43" s="21" t="s">
        <v>416</v>
      </c>
      <c r="F43" s="21" t="s">
        <v>414</v>
      </c>
      <c r="G43" s="21" t="s">
        <v>373</v>
      </c>
      <c r="J43" t="s">
        <v>663</v>
      </c>
      <c r="K43" t="s">
        <v>664</v>
      </c>
      <c r="L43" t="s">
        <v>665</v>
      </c>
      <c r="M43" t="s">
        <v>666</v>
      </c>
      <c r="N43" t="s">
        <v>667</v>
      </c>
    </row>
    <row r="44" spans="2:14" x14ac:dyDescent="0.2">
      <c r="B44" s="20">
        <v>5</v>
      </c>
      <c r="C44" s="21" t="s">
        <v>401</v>
      </c>
      <c r="D44" s="21" t="s">
        <v>389</v>
      </c>
      <c r="E44" s="21" t="s">
        <v>404</v>
      </c>
      <c r="F44" s="21" t="s">
        <v>406</v>
      </c>
      <c r="G44" s="21" t="s">
        <v>446</v>
      </c>
      <c r="J44" t="s">
        <v>668</v>
      </c>
      <c r="K44" t="s">
        <v>669</v>
      </c>
      <c r="L44" t="s">
        <v>670</v>
      </c>
      <c r="M44" t="s">
        <v>671</v>
      </c>
      <c r="N44" t="s">
        <v>672</v>
      </c>
    </row>
    <row r="45" spans="2:14" x14ac:dyDescent="0.2">
      <c r="B45" s="20">
        <v>6</v>
      </c>
      <c r="C45" s="21" t="s">
        <v>447</v>
      </c>
      <c r="D45" s="21" t="s">
        <v>412</v>
      </c>
      <c r="E45" s="21" t="s">
        <v>369</v>
      </c>
      <c r="F45" s="21" t="s">
        <v>450</v>
      </c>
      <c r="G45" s="21" t="s">
        <v>375</v>
      </c>
      <c r="J45" t="s">
        <v>673</v>
      </c>
      <c r="K45" t="s">
        <v>674</v>
      </c>
      <c r="L45" t="s">
        <v>675</v>
      </c>
      <c r="M45" t="s">
        <v>676</v>
      </c>
      <c r="N45" t="s">
        <v>677</v>
      </c>
    </row>
    <row r="46" spans="2:14" x14ac:dyDescent="0.2">
      <c r="B46" s="20">
        <v>7</v>
      </c>
      <c r="C46" s="21" t="s">
        <v>393</v>
      </c>
      <c r="D46" s="21" t="s">
        <v>386</v>
      </c>
      <c r="E46" s="21" t="s">
        <v>400</v>
      </c>
      <c r="F46" s="21" t="s">
        <v>370</v>
      </c>
      <c r="G46" s="21" t="s">
        <v>420</v>
      </c>
      <c r="J46" t="s">
        <v>678</v>
      </c>
      <c r="K46" t="s">
        <v>679</v>
      </c>
      <c r="L46" t="s">
        <v>680</v>
      </c>
      <c r="M46" t="s">
        <v>681</v>
      </c>
      <c r="N46" t="s">
        <v>682</v>
      </c>
    </row>
    <row r="47" spans="2:14" x14ac:dyDescent="0.2">
      <c r="B47" s="11">
        <v>10</v>
      </c>
      <c r="C47" s="21" t="s">
        <v>415</v>
      </c>
      <c r="D47" s="21" t="s">
        <v>449</v>
      </c>
      <c r="E47" s="21" t="s">
        <v>439</v>
      </c>
      <c r="F47" s="21" t="s">
        <v>399</v>
      </c>
      <c r="G47" s="21" t="s">
        <v>382</v>
      </c>
      <c r="J47" t="s">
        <v>683</v>
      </c>
      <c r="K47" t="s">
        <v>684</v>
      </c>
      <c r="L47" t="s">
        <v>685</v>
      </c>
      <c r="M47" t="s">
        <v>686</v>
      </c>
      <c r="N47" t="s">
        <v>687</v>
      </c>
    </row>
    <row r="48" spans="2:14" x14ac:dyDescent="0.2">
      <c r="B48" s="11">
        <v>11</v>
      </c>
      <c r="C48" s="21" t="s">
        <v>366</v>
      </c>
      <c r="D48" s="21" t="s">
        <v>409</v>
      </c>
      <c r="E48" s="21" t="s">
        <v>436</v>
      </c>
      <c r="F48" s="21" t="s">
        <v>387</v>
      </c>
      <c r="G48" s="21" t="s">
        <v>428</v>
      </c>
      <c r="J48" t="s">
        <v>688</v>
      </c>
      <c r="K48" t="s">
        <v>689</v>
      </c>
      <c r="L48" t="s">
        <v>690</v>
      </c>
      <c r="M48" t="s">
        <v>691</v>
      </c>
      <c r="N48" t="s">
        <v>692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8"/>
  <sheetViews>
    <sheetView workbookViewId="0"/>
  </sheetViews>
  <sheetFormatPr defaultRowHeight="12.75" x14ac:dyDescent="0.2"/>
  <cols>
    <col min="1" max="1" width="10.140625" bestFit="1" customWidth="1"/>
    <col min="4" max="8" width="18.42578125" bestFit="1" customWidth="1"/>
  </cols>
  <sheetData>
    <row r="1" spans="1:8" x14ac:dyDescent="0.2">
      <c r="D1" s="2" t="s">
        <v>361</v>
      </c>
      <c r="E1" s="2" t="s">
        <v>362</v>
      </c>
      <c r="F1" s="2" t="s">
        <v>363</v>
      </c>
      <c r="G1" s="2" t="s">
        <v>395</v>
      </c>
      <c r="H1" s="2" t="s">
        <v>419</v>
      </c>
    </row>
    <row r="2" spans="1:8" x14ac:dyDescent="0.2">
      <c r="A2" s="22">
        <v>42095</v>
      </c>
      <c r="B2" s="11">
        <v>1</v>
      </c>
      <c r="D2" s="19" t="s">
        <v>459</v>
      </c>
      <c r="E2" t="s">
        <v>460</v>
      </c>
      <c r="F2" t="s">
        <v>461</v>
      </c>
      <c r="G2" t="s">
        <v>462</v>
      </c>
      <c r="H2" t="s">
        <v>463</v>
      </c>
    </row>
    <row r="3" spans="1:8" x14ac:dyDescent="0.2">
      <c r="A3" s="22">
        <v>42096</v>
      </c>
      <c r="B3" s="16">
        <v>1</v>
      </c>
      <c r="D3" s="19" t="s">
        <v>458</v>
      </c>
      <c r="E3" t="s">
        <v>514</v>
      </c>
      <c r="F3" t="s">
        <v>515</v>
      </c>
      <c r="G3" t="s">
        <v>516</v>
      </c>
      <c r="H3" t="s">
        <v>517</v>
      </c>
    </row>
    <row r="4" spans="1:8" x14ac:dyDescent="0.2">
      <c r="A4" s="22">
        <v>42097</v>
      </c>
      <c r="B4" s="13">
        <v>1</v>
      </c>
      <c r="D4" s="19" t="s">
        <v>558</v>
      </c>
      <c r="E4" t="s">
        <v>559</v>
      </c>
      <c r="F4" t="s">
        <v>560</v>
      </c>
      <c r="G4" t="s">
        <v>561</v>
      </c>
      <c r="H4" t="s">
        <v>562</v>
      </c>
    </row>
    <row r="5" spans="1:8" x14ac:dyDescent="0.2">
      <c r="A5" s="22">
        <v>42098</v>
      </c>
      <c r="B5" s="15">
        <v>1</v>
      </c>
      <c r="D5" s="19" t="s">
        <v>603</v>
      </c>
      <c r="E5" t="s">
        <v>604</v>
      </c>
      <c r="F5" t="s">
        <v>605</v>
      </c>
      <c r="G5" t="s">
        <v>606</v>
      </c>
      <c r="H5" t="s">
        <v>607</v>
      </c>
    </row>
    <row r="6" spans="1:8" x14ac:dyDescent="0.2">
      <c r="A6" s="22">
        <v>42099</v>
      </c>
      <c r="B6" s="20">
        <v>1</v>
      </c>
      <c r="D6" s="19" t="s">
        <v>648</v>
      </c>
      <c r="E6" t="s">
        <v>649</v>
      </c>
      <c r="F6" t="s">
        <v>650</v>
      </c>
      <c r="G6" t="s">
        <v>651</v>
      </c>
      <c r="H6" t="s">
        <v>652</v>
      </c>
    </row>
    <row r="7" spans="1:8" x14ac:dyDescent="0.2">
      <c r="A7" s="22">
        <v>42100</v>
      </c>
      <c r="B7" s="11">
        <v>2</v>
      </c>
      <c r="D7" t="s">
        <v>464</v>
      </c>
      <c r="E7" t="s">
        <v>465</v>
      </c>
      <c r="F7" t="s">
        <v>466</v>
      </c>
      <c r="G7" t="s">
        <v>467</v>
      </c>
      <c r="H7" t="s">
        <v>468</v>
      </c>
    </row>
    <row r="8" spans="1:8" x14ac:dyDescent="0.2">
      <c r="A8" s="22">
        <v>42101</v>
      </c>
      <c r="B8" s="13">
        <v>2</v>
      </c>
      <c r="D8" t="s">
        <v>563</v>
      </c>
      <c r="E8" t="s">
        <v>564</v>
      </c>
      <c r="F8" t="s">
        <v>565</v>
      </c>
      <c r="G8" t="s">
        <v>566</v>
      </c>
      <c r="H8" t="s">
        <v>567</v>
      </c>
    </row>
    <row r="9" spans="1:8" x14ac:dyDescent="0.2">
      <c r="A9" s="22">
        <v>42102</v>
      </c>
      <c r="B9" s="15">
        <v>2</v>
      </c>
      <c r="D9" t="s">
        <v>608</v>
      </c>
      <c r="E9" t="s">
        <v>609</v>
      </c>
      <c r="F9" t="s">
        <v>610</v>
      </c>
      <c r="G9" t="s">
        <v>611</v>
      </c>
      <c r="H9" t="s">
        <v>612</v>
      </c>
    </row>
    <row r="10" spans="1:8" x14ac:dyDescent="0.2">
      <c r="A10" s="22">
        <v>42103</v>
      </c>
      <c r="B10" s="20">
        <v>2</v>
      </c>
      <c r="D10" t="s">
        <v>653</v>
      </c>
      <c r="E10" t="s">
        <v>654</v>
      </c>
      <c r="F10" t="s">
        <v>655</v>
      </c>
      <c r="G10" t="s">
        <v>656</v>
      </c>
      <c r="H10" t="s">
        <v>657</v>
      </c>
    </row>
    <row r="11" spans="1:8" x14ac:dyDescent="0.2">
      <c r="A11" s="22">
        <v>42104</v>
      </c>
      <c r="B11" s="11">
        <v>3</v>
      </c>
      <c r="D11" t="s">
        <v>469</v>
      </c>
      <c r="E11" t="s">
        <v>470</v>
      </c>
      <c r="F11" t="s">
        <v>471</v>
      </c>
      <c r="G11" t="s">
        <v>472</v>
      </c>
      <c r="H11" t="s">
        <v>473</v>
      </c>
    </row>
    <row r="12" spans="1:8" x14ac:dyDescent="0.2">
      <c r="A12" s="22">
        <v>42105</v>
      </c>
      <c r="B12" s="13">
        <v>3</v>
      </c>
      <c r="D12" t="s">
        <v>568</v>
      </c>
      <c r="E12" t="s">
        <v>569</v>
      </c>
      <c r="F12" t="s">
        <v>570</v>
      </c>
      <c r="G12" t="s">
        <v>571</v>
      </c>
      <c r="H12" t="s">
        <v>572</v>
      </c>
    </row>
    <row r="13" spans="1:8" x14ac:dyDescent="0.2">
      <c r="A13" s="22">
        <v>42106</v>
      </c>
      <c r="B13" s="15">
        <v>3</v>
      </c>
      <c r="D13" t="s">
        <v>613</v>
      </c>
      <c r="E13" t="s">
        <v>614</v>
      </c>
      <c r="F13" t="s">
        <v>615</v>
      </c>
      <c r="G13" t="s">
        <v>616</v>
      </c>
      <c r="H13" t="s">
        <v>617</v>
      </c>
    </row>
    <row r="14" spans="1:8" x14ac:dyDescent="0.2">
      <c r="A14" s="22">
        <v>42107</v>
      </c>
      <c r="B14" s="20">
        <v>3</v>
      </c>
      <c r="D14" t="s">
        <v>658</v>
      </c>
      <c r="E14" t="s">
        <v>659</v>
      </c>
      <c r="F14" t="s">
        <v>660</v>
      </c>
      <c r="G14" t="s">
        <v>661</v>
      </c>
      <c r="H14" t="s">
        <v>662</v>
      </c>
    </row>
    <row r="15" spans="1:8" x14ac:dyDescent="0.2">
      <c r="A15" s="22">
        <v>42108</v>
      </c>
      <c r="B15" s="11">
        <v>4</v>
      </c>
      <c r="D15" t="s">
        <v>474</v>
      </c>
      <c r="E15" t="s">
        <v>475</v>
      </c>
      <c r="F15" t="s">
        <v>476</v>
      </c>
      <c r="G15" t="s">
        <v>477</v>
      </c>
      <c r="H15" t="s">
        <v>478</v>
      </c>
    </row>
    <row r="16" spans="1:8" x14ac:dyDescent="0.2">
      <c r="A16" s="22">
        <v>42109</v>
      </c>
      <c r="B16" s="11">
        <v>4</v>
      </c>
      <c r="D16" t="s">
        <v>518</v>
      </c>
      <c r="E16" t="s">
        <v>519</v>
      </c>
      <c r="F16" t="s">
        <v>520</v>
      </c>
      <c r="G16" t="s">
        <v>521</v>
      </c>
      <c r="H16" t="s">
        <v>522</v>
      </c>
    </row>
    <row r="17" spans="1:8" x14ac:dyDescent="0.2">
      <c r="A17" s="22">
        <v>42110</v>
      </c>
      <c r="B17" s="15">
        <v>4</v>
      </c>
      <c r="D17" t="s">
        <v>618</v>
      </c>
      <c r="E17" t="s">
        <v>619</v>
      </c>
      <c r="F17" t="s">
        <v>620</v>
      </c>
      <c r="G17" t="s">
        <v>621</v>
      </c>
      <c r="H17" t="s">
        <v>622</v>
      </c>
    </row>
    <row r="18" spans="1:8" x14ac:dyDescent="0.2">
      <c r="A18" s="22">
        <v>42111</v>
      </c>
      <c r="B18" s="20">
        <v>4</v>
      </c>
      <c r="D18" t="s">
        <v>663</v>
      </c>
      <c r="E18" t="s">
        <v>664</v>
      </c>
      <c r="F18" t="s">
        <v>665</v>
      </c>
      <c r="G18" t="s">
        <v>666</v>
      </c>
      <c r="H18" t="s">
        <v>667</v>
      </c>
    </row>
    <row r="19" spans="1:8" x14ac:dyDescent="0.2">
      <c r="A19" s="22">
        <v>42112</v>
      </c>
      <c r="B19" s="11">
        <v>5</v>
      </c>
      <c r="D19" t="s">
        <v>479</v>
      </c>
      <c r="E19" t="s">
        <v>480</v>
      </c>
      <c r="F19" t="s">
        <v>481</v>
      </c>
      <c r="G19" t="s">
        <v>482</v>
      </c>
      <c r="H19" t="s">
        <v>483</v>
      </c>
    </row>
    <row r="20" spans="1:8" x14ac:dyDescent="0.2">
      <c r="A20" s="22">
        <v>42113</v>
      </c>
      <c r="B20" s="11">
        <v>5</v>
      </c>
      <c r="D20" t="s">
        <v>523</v>
      </c>
      <c r="E20" t="s">
        <v>524</v>
      </c>
      <c r="F20" t="s">
        <v>525</v>
      </c>
      <c r="G20" t="s">
        <v>526</v>
      </c>
      <c r="H20" t="s">
        <v>527</v>
      </c>
    </row>
    <row r="21" spans="1:8" x14ac:dyDescent="0.2">
      <c r="A21" s="22">
        <v>42114</v>
      </c>
      <c r="B21" s="15">
        <v>5</v>
      </c>
      <c r="D21" t="s">
        <v>623</v>
      </c>
      <c r="E21" t="s">
        <v>624</v>
      </c>
      <c r="F21" t="s">
        <v>625</v>
      </c>
      <c r="G21" t="s">
        <v>626</v>
      </c>
      <c r="H21" t="s">
        <v>627</v>
      </c>
    </row>
    <row r="22" spans="1:8" x14ac:dyDescent="0.2">
      <c r="A22" s="22">
        <v>42115</v>
      </c>
      <c r="B22" s="20">
        <v>5</v>
      </c>
      <c r="D22" t="s">
        <v>668</v>
      </c>
      <c r="E22" t="s">
        <v>669</v>
      </c>
      <c r="F22" t="s">
        <v>670</v>
      </c>
      <c r="G22" t="s">
        <v>671</v>
      </c>
      <c r="H22" t="s">
        <v>672</v>
      </c>
    </row>
    <row r="23" spans="1:8" x14ac:dyDescent="0.2">
      <c r="A23" s="22">
        <v>42116</v>
      </c>
      <c r="B23" s="11">
        <v>6</v>
      </c>
      <c r="D23" t="s">
        <v>484</v>
      </c>
      <c r="E23" t="s">
        <v>485</v>
      </c>
      <c r="F23" t="s">
        <v>486</v>
      </c>
      <c r="G23" t="s">
        <v>487</v>
      </c>
      <c r="H23" t="s">
        <v>488</v>
      </c>
    </row>
    <row r="24" spans="1:8" x14ac:dyDescent="0.2">
      <c r="A24" s="22">
        <v>42117</v>
      </c>
      <c r="B24" s="11">
        <v>6</v>
      </c>
      <c r="D24" t="s">
        <v>528</v>
      </c>
      <c r="E24" t="s">
        <v>529</v>
      </c>
      <c r="F24" t="s">
        <v>530</v>
      </c>
      <c r="G24" t="s">
        <v>531</v>
      </c>
      <c r="H24" t="s">
        <v>532</v>
      </c>
    </row>
    <row r="25" spans="1:8" x14ac:dyDescent="0.2">
      <c r="A25" s="22">
        <v>42118</v>
      </c>
      <c r="B25" s="11">
        <v>6</v>
      </c>
      <c r="D25" t="s">
        <v>573</v>
      </c>
      <c r="E25" t="s">
        <v>574</v>
      </c>
      <c r="F25" t="s">
        <v>575</v>
      </c>
      <c r="G25" t="s">
        <v>576</v>
      </c>
      <c r="H25" t="s">
        <v>577</v>
      </c>
    </row>
    <row r="26" spans="1:8" x14ac:dyDescent="0.2">
      <c r="A26" s="22">
        <v>42119</v>
      </c>
      <c r="B26" s="20">
        <v>6</v>
      </c>
      <c r="D26" t="s">
        <v>673</v>
      </c>
      <c r="E26" t="s">
        <v>674</v>
      </c>
      <c r="F26" t="s">
        <v>675</v>
      </c>
      <c r="G26" t="s">
        <v>676</v>
      </c>
      <c r="H26" t="s">
        <v>677</v>
      </c>
    </row>
    <row r="27" spans="1:8" x14ac:dyDescent="0.2">
      <c r="A27" s="22">
        <v>42120</v>
      </c>
      <c r="B27" s="11">
        <v>7</v>
      </c>
      <c r="D27" t="s">
        <v>489</v>
      </c>
      <c r="E27" t="s">
        <v>490</v>
      </c>
      <c r="F27" t="s">
        <v>491</v>
      </c>
      <c r="G27" t="s">
        <v>492</v>
      </c>
      <c r="H27" t="s">
        <v>493</v>
      </c>
    </row>
    <row r="28" spans="1:8" x14ac:dyDescent="0.2">
      <c r="A28" s="22">
        <v>42121</v>
      </c>
      <c r="B28" s="11">
        <v>7</v>
      </c>
      <c r="D28" t="s">
        <v>533</v>
      </c>
      <c r="E28" t="s">
        <v>534</v>
      </c>
      <c r="F28" t="s">
        <v>535</v>
      </c>
      <c r="G28" t="s">
        <v>536</v>
      </c>
      <c r="H28" t="s">
        <v>537</v>
      </c>
    </row>
    <row r="29" spans="1:8" x14ac:dyDescent="0.2">
      <c r="A29" s="22">
        <v>42122</v>
      </c>
      <c r="B29" s="11">
        <v>7</v>
      </c>
      <c r="D29" t="s">
        <v>578</v>
      </c>
      <c r="E29" t="s">
        <v>579</v>
      </c>
      <c r="F29" t="s">
        <v>580</v>
      </c>
      <c r="G29" t="s">
        <v>581</v>
      </c>
      <c r="H29" t="s">
        <v>582</v>
      </c>
    </row>
    <row r="30" spans="1:8" x14ac:dyDescent="0.2">
      <c r="A30" s="22">
        <v>42123</v>
      </c>
      <c r="B30" s="20">
        <v>7</v>
      </c>
      <c r="D30" t="s">
        <v>678</v>
      </c>
      <c r="E30" t="s">
        <v>679</v>
      </c>
      <c r="F30" t="s">
        <v>680</v>
      </c>
      <c r="G30" t="s">
        <v>681</v>
      </c>
      <c r="H30" t="s">
        <v>682</v>
      </c>
    </row>
    <row r="31" spans="1:8" x14ac:dyDescent="0.2">
      <c r="A31" s="22">
        <v>42124</v>
      </c>
      <c r="B31" s="11">
        <v>8</v>
      </c>
      <c r="D31" t="s">
        <v>494</v>
      </c>
      <c r="E31" t="s">
        <v>495</v>
      </c>
      <c r="F31" t="s">
        <v>496</v>
      </c>
      <c r="G31" t="s">
        <v>497</v>
      </c>
      <c r="H31" t="s">
        <v>498</v>
      </c>
    </row>
    <row r="32" spans="1:8" x14ac:dyDescent="0.2">
      <c r="A32" s="22">
        <v>42125</v>
      </c>
      <c r="B32" s="11">
        <v>8</v>
      </c>
      <c r="D32" t="s">
        <v>538</v>
      </c>
      <c r="E32" t="s">
        <v>539</v>
      </c>
      <c r="F32" t="s">
        <v>540</v>
      </c>
      <c r="G32" t="s">
        <v>541</v>
      </c>
      <c r="H32" t="s">
        <v>542</v>
      </c>
    </row>
    <row r="33" spans="1:8" x14ac:dyDescent="0.2">
      <c r="A33" s="22">
        <v>42126</v>
      </c>
      <c r="B33" s="11">
        <v>8</v>
      </c>
      <c r="D33" t="s">
        <v>583</v>
      </c>
      <c r="E33" t="s">
        <v>584</v>
      </c>
      <c r="F33" t="s">
        <v>585</v>
      </c>
      <c r="G33" t="s">
        <v>586</v>
      </c>
      <c r="H33" t="s">
        <v>587</v>
      </c>
    </row>
    <row r="34" spans="1:8" x14ac:dyDescent="0.2">
      <c r="A34" s="22">
        <v>42127</v>
      </c>
      <c r="B34" s="11">
        <v>8</v>
      </c>
      <c r="D34" t="s">
        <v>628</v>
      </c>
      <c r="E34" t="s">
        <v>629</v>
      </c>
      <c r="F34" t="s">
        <v>630</v>
      </c>
      <c r="G34" t="s">
        <v>631</v>
      </c>
      <c r="H34" t="s">
        <v>632</v>
      </c>
    </row>
    <row r="35" spans="1:8" x14ac:dyDescent="0.2">
      <c r="A35" s="22">
        <v>42128</v>
      </c>
      <c r="B35" s="11">
        <v>9</v>
      </c>
      <c r="D35" t="s">
        <v>499</v>
      </c>
      <c r="E35" t="s">
        <v>500</v>
      </c>
      <c r="F35" t="s">
        <v>501</v>
      </c>
      <c r="G35" t="s">
        <v>502</v>
      </c>
      <c r="H35" t="s">
        <v>503</v>
      </c>
    </row>
    <row r="36" spans="1:8" x14ac:dyDescent="0.2">
      <c r="A36" s="22">
        <v>42129</v>
      </c>
      <c r="B36" s="11">
        <v>9</v>
      </c>
      <c r="D36" t="s">
        <v>543</v>
      </c>
      <c r="E36" t="s">
        <v>544</v>
      </c>
      <c r="F36" t="s">
        <v>545</v>
      </c>
      <c r="G36" t="s">
        <v>546</v>
      </c>
      <c r="H36" t="s">
        <v>547</v>
      </c>
    </row>
    <row r="37" spans="1:8" x14ac:dyDescent="0.2">
      <c r="A37" s="22">
        <v>42130</v>
      </c>
      <c r="B37" s="11">
        <v>9</v>
      </c>
      <c r="D37" t="s">
        <v>588</v>
      </c>
      <c r="E37" t="s">
        <v>589</v>
      </c>
      <c r="F37" t="s">
        <v>590</v>
      </c>
      <c r="G37" t="s">
        <v>591</v>
      </c>
      <c r="H37" t="s">
        <v>592</v>
      </c>
    </row>
    <row r="38" spans="1:8" x14ac:dyDescent="0.2">
      <c r="A38" s="22">
        <v>42131</v>
      </c>
      <c r="B38" s="11">
        <v>9</v>
      </c>
      <c r="D38" t="s">
        <v>633</v>
      </c>
      <c r="E38" t="s">
        <v>634</v>
      </c>
      <c r="F38" t="s">
        <v>635</v>
      </c>
      <c r="G38" t="s">
        <v>636</v>
      </c>
      <c r="H38" t="s">
        <v>637</v>
      </c>
    </row>
    <row r="39" spans="1:8" x14ac:dyDescent="0.2">
      <c r="A39" s="22">
        <v>42132</v>
      </c>
      <c r="B39" s="11">
        <v>10</v>
      </c>
      <c r="D39" t="s">
        <v>504</v>
      </c>
      <c r="E39" t="s">
        <v>505</v>
      </c>
      <c r="F39" t="s">
        <v>506</v>
      </c>
      <c r="G39" t="s">
        <v>507</v>
      </c>
      <c r="H39" t="s">
        <v>508</v>
      </c>
    </row>
    <row r="40" spans="1:8" x14ac:dyDescent="0.2">
      <c r="A40" s="22">
        <v>42133</v>
      </c>
      <c r="B40" s="11">
        <v>10</v>
      </c>
      <c r="D40" t="s">
        <v>548</v>
      </c>
      <c r="E40" t="s">
        <v>549</v>
      </c>
      <c r="F40" t="s">
        <v>550</v>
      </c>
      <c r="G40" t="s">
        <v>551</v>
      </c>
      <c r="H40" t="s">
        <v>552</v>
      </c>
    </row>
    <row r="41" spans="1:8" x14ac:dyDescent="0.2">
      <c r="A41" s="22">
        <v>42134</v>
      </c>
      <c r="B41" s="11">
        <v>10</v>
      </c>
      <c r="D41" t="s">
        <v>593</v>
      </c>
      <c r="E41" t="s">
        <v>594</v>
      </c>
      <c r="F41" t="s">
        <v>595</v>
      </c>
      <c r="G41" t="s">
        <v>596</v>
      </c>
      <c r="H41" t="s">
        <v>597</v>
      </c>
    </row>
    <row r="42" spans="1:8" x14ac:dyDescent="0.2">
      <c r="A42" s="22">
        <v>42135</v>
      </c>
      <c r="B42" s="11">
        <v>10</v>
      </c>
      <c r="D42" t="s">
        <v>638</v>
      </c>
      <c r="E42" t="s">
        <v>639</v>
      </c>
      <c r="F42" t="s">
        <v>640</v>
      </c>
      <c r="G42" t="s">
        <v>641</v>
      </c>
      <c r="H42" t="s">
        <v>642</v>
      </c>
    </row>
    <row r="43" spans="1:8" x14ac:dyDescent="0.2">
      <c r="A43" s="22">
        <v>42136</v>
      </c>
      <c r="B43" s="11">
        <v>10</v>
      </c>
      <c r="D43" t="s">
        <v>683</v>
      </c>
      <c r="E43" t="s">
        <v>684</v>
      </c>
      <c r="F43" t="s">
        <v>685</v>
      </c>
      <c r="G43" t="s">
        <v>686</v>
      </c>
      <c r="H43" t="s">
        <v>687</v>
      </c>
    </row>
    <row r="44" spans="1:8" x14ac:dyDescent="0.2">
      <c r="A44" s="22">
        <v>42137</v>
      </c>
      <c r="B44" s="11">
        <v>11</v>
      </c>
      <c r="D44" t="s">
        <v>509</v>
      </c>
      <c r="E44" t="s">
        <v>510</v>
      </c>
      <c r="F44" t="s">
        <v>511</v>
      </c>
      <c r="G44" t="s">
        <v>512</v>
      </c>
      <c r="H44" t="s">
        <v>513</v>
      </c>
    </row>
    <row r="45" spans="1:8" x14ac:dyDescent="0.2">
      <c r="A45" s="22">
        <v>42138</v>
      </c>
      <c r="B45" s="11">
        <v>11</v>
      </c>
      <c r="D45" t="s">
        <v>553</v>
      </c>
      <c r="E45" t="s">
        <v>554</v>
      </c>
      <c r="F45" t="s">
        <v>555</v>
      </c>
      <c r="G45" t="s">
        <v>556</v>
      </c>
      <c r="H45" t="s">
        <v>557</v>
      </c>
    </row>
    <row r="46" spans="1:8" x14ac:dyDescent="0.2">
      <c r="A46" s="22">
        <v>42139</v>
      </c>
      <c r="B46" s="11">
        <v>11</v>
      </c>
      <c r="D46" t="s">
        <v>598</v>
      </c>
      <c r="E46" t="s">
        <v>599</v>
      </c>
      <c r="F46" t="s">
        <v>600</v>
      </c>
      <c r="G46" t="s">
        <v>601</v>
      </c>
      <c r="H46" t="s">
        <v>602</v>
      </c>
    </row>
    <row r="47" spans="1:8" x14ac:dyDescent="0.2">
      <c r="A47" s="22">
        <v>42140</v>
      </c>
      <c r="B47" s="11">
        <v>11</v>
      </c>
      <c r="D47" t="s">
        <v>643</v>
      </c>
      <c r="E47" t="s">
        <v>644</v>
      </c>
      <c r="F47" t="s">
        <v>645</v>
      </c>
      <c r="G47" t="s">
        <v>646</v>
      </c>
      <c r="H47" t="s">
        <v>647</v>
      </c>
    </row>
    <row r="48" spans="1:8" x14ac:dyDescent="0.2">
      <c r="A48" s="22">
        <v>42141</v>
      </c>
      <c r="B48" s="11">
        <v>11</v>
      </c>
      <c r="D48" t="s">
        <v>688</v>
      </c>
      <c r="E48" t="s">
        <v>689</v>
      </c>
      <c r="F48" t="s">
        <v>690</v>
      </c>
      <c r="G48" t="s">
        <v>691</v>
      </c>
      <c r="H48" t="s">
        <v>692</v>
      </c>
    </row>
  </sheetData>
  <sortState ref="B2:I48">
    <sortCondition ref="B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8"/>
  <sheetViews>
    <sheetView workbookViewId="0"/>
  </sheetViews>
  <sheetFormatPr defaultRowHeight="12.75" x14ac:dyDescent="0.2"/>
  <cols>
    <col min="1" max="1" width="10.140625" bestFit="1" customWidth="1"/>
    <col min="3" max="3" width="10.140625" bestFit="1" customWidth="1"/>
    <col min="4" max="8" width="18.42578125" bestFit="1" customWidth="1"/>
  </cols>
  <sheetData>
    <row r="1" spans="1:8" x14ac:dyDescent="0.2">
      <c r="C1" s="18" t="s">
        <v>693</v>
      </c>
      <c r="D1" s="2" t="s">
        <v>361</v>
      </c>
      <c r="E1" s="2" t="s">
        <v>362</v>
      </c>
      <c r="F1" s="2" t="s">
        <v>363</v>
      </c>
      <c r="G1" s="2" t="s">
        <v>395</v>
      </c>
      <c r="H1" s="2" t="s">
        <v>419</v>
      </c>
    </row>
    <row r="2" spans="1:8" x14ac:dyDescent="0.2">
      <c r="A2" s="22">
        <v>42095</v>
      </c>
      <c r="B2" s="11">
        <v>1</v>
      </c>
      <c r="C2" s="25" t="str">
        <f>IF(WEEKDAY(A2,2)&gt;5,"weekend","")</f>
        <v/>
      </c>
      <c r="D2" s="23" t="s">
        <v>459</v>
      </c>
      <c r="E2" s="24" t="s">
        <v>689</v>
      </c>
      <c r="F2" s="24" t="s">
        <v>645</v>
      </c>
      <c r="G2" s="24" t="s">
        <v>601</v>
      </c>
      <c r="H2" s="24" t="s">
        <v>557</v>
      </c>
    </row>
    <row r="3" spans="1:8" x14ac:dyDescent="0.2">
      <c r="A3" s="22">
        <v>42096</v>
      </c>
      <c r="B3" s="16">
        <v>1</v>
      </c>
      <c r="C3" s="25" t="str">
        <f t="shared" ref="C3:C48" si="0">IF(WEEKDAY(A3,2)&gt;5,"weekend","")</f>
        <v/>
      </c>
      <c r="D3" s="23" t="s">
        <v>458</v>
      </c>
      <c r="E3" t="s">
        <v>460</v>
      </c>
      <c r="F3" s="24" t="s">
        <v>690</v>
      </c>
      <c r="G3" s="24" t="s">
        <v>646</v>
      </c>
      <c r="H3" s="24" t="s">
        <v>602</v>
      </c>
    </row>
    <row r="4" spans="1:8" x14ac:dyDescent="0.2">
      <c r="A4" s="22">
        <v>42097</v>
      </c>
      <c r="B4" s="13">
        <v>1</v>
      </c>
      <c r="C4" s="25" t="str">
        <f t="shared" si="0"/>
        <v/>
      </c>
      <c r="D4" s="23" t="s">
        <v>558</v>
      </c>
      <c r="E4" t="s">
        <v>514</v>
      </c>
      <c r="F4" t="s">
        <v>461</v>
      </c>
      <c r="G4" s="24" t="s">
        <v>691</v>
      </c>
      <c r="H4" s="24" t="s">
        <v>647</v>
      </c>
    </row>
    <row r="5" spans="1:8" x14ac:dyDescent="0.2">
      <c r="A5" s="22">
        <v>42098</v>
      </c>
      <c r="B5" s="15">
        <v>1</v>
      </c>
      <c r="C5" s="25" t="str">
        <f t="shared" si="0"/>
        <v>weekend</v>
      </c>
      <c r="D5" s="23" t="s">
        <v>603</v>
      </c>
      <c r="E5" t="s">
        <v>559</v>
      </c>
      <c r="F5" t="s">
        <v>515</v>
      </c>
      <c r="G5" t="s">
        <v>462</v>
      </c>
      <c r="H5" s="24" t="s">
        <v>692</v>
      </c>
    </row>
    <row r="6" spans="1:8" x14ac:dyDescent="0.2">
      <c r="A6" s="22">
        <v>42099</v>
      </c>
      <c r="B6" s="20">
        <v>1</v>
      </c>
      <c r="C6" s="25" t="str">
        <f t="shared" si="0"/>
        <v>weekend</v>
      </c>
      <c r="D6" s="23" t="s">
        <v>648</v>
      </c>
      <c r="E6" t="s">
        <v>604</v>
      </c>
      <c r="F6" t="s">
        <v>560</v>
      </c>
      <c r="G6" t="s">
        <v>516</v>
      </c>
      <c r="H6" t="s">
        <v>463</v>
      </c>
    </row>
    <row r="7" spans="1:8" x14ac:dyDescent="0.2">
      <c r="A7" s="22">
        <v>42100</v>
      </c>
      <c r="B7" s="11">
        <v>2</v>
      </c>
      <c r="C7" s="25" t="str">
        <f t="shared" si="0"/>
        <v/>
      </c>
      <c r="D7" t="s">
        <v>464</v>
      </c>
      <c r="E7" t="s">
        <v>649</v>
      </c>
      <c r="F7" t="s">
        <v>605</v>
      </c>
      <c r="G7" t="s">
        <v>561</v>
      </c>
      <c r="H7" t="s">
        <v>517</v>
      </c>
    </row>
    <row r="8" spans="1:8" x14ac:dyDescent="0.2">
      <c r="A8" s="22">
        <v>42101</v>
      </c>
      <c r="B8" s="13">
        <v>2</v>
      </c>
      <c r="C8" s="25" t="str">
        <f t="shared" si="0"/>
        <v/>
      </c>
      <c r="D8" t="s">
        <v>563</v>
      </c>
      <c r="E8" t="s">
        <v>465</v>
      </c>
      <c r="F8" t="s">
        <v>650</v>
      </c>
      <c r="G8" t="s">
        <v>606</v>
      </c>
      <c r="H8" t="s">
        <v>562</v>
      </c>
    </row>
    <row r="9" spans="1:8" x14ac:dyDescent="0.2">
      <c r="A9" s="22">
        <v>42102</v>
      </c>
      <c r="B9" s="15">
        <v>2</v>
      </c>
      <c r="C9" s="25" t="str">
        <f t="shared" si="0"/>
        <v/>
      </c>
      <c r="D9" t="s">
        <v>608</v>
      </c>
      <c r="E9" t="s">
        <v>564</v>
      </c>
      <c r="F9" t="s">
        <v>466</v>
      </c>
      <c r="G9" t="s">
        <v>651</v>
      </c>
      <c r="H9" t="s">
        <v>607</v>
      </c>
    </row>
    <row r="10" spans="1:8" x14ac:dyDescent="0.2">
      <c r="A10" s="22">
        <v>42103</v>
      </c>
      <c r="B10" s="20">
        <v>2</v>
      </c>
      <c r="C10" s="25" t="str">
        <f t="shared" si="0"/>
        <v/>
      </c>
      <c r="D10" t="s">
        <v>653</v>
      </c>
      <c r="E10" t="s">
        <v>609</v>
      </c>
      <c r="F10" t="s">
        <v>565</v>
      </c>
      <c r="G10" t="s">
        <v>467</v>
      </c>
      <c r="H10" t="s">
        <v>652</v>
      </c>
    </row>
    <row r="11" spans="1:8" x14ac:dyDescent="0.2">
      <c r="A11" s="22">
        <v>42104</v>
      </c>
      <c r="B11" s="11">
        <v>3</v>
      </c>
      <c r="C11" s="25" t="str">
        <f t="shared" si="0"/>
        <v/>
      </c>
      <c r="D11" t="s">
        <v>469</v>
      </c>
      <c r="E11" t="s">
        <v>654</v>
      </c>
      <c r="F11" t="s">
        <v>610</v>
      </c>
      <c r="G11" t="s">
        <v>566</v>
      </c>
      <c r="H11" t="s">
        <v>468</v>
      </c>
    </row>
    <row r="12" spans="1:8" x14ac:dyDescent="0.2">
      <c r="A12" s="22">
        <v>42105</v>
      </c>
      <c r="B12" s="13">
        <v>3</v>
      </c>
      <c r="C12" s="25" t="str">
        <f t="shared" si="0"/>
        <v>weekend</v>
      </c>
      <c r="D12" t="s">
        <v>568</v>
      </c>
      <c r="E12" t="s">
        <v>470</v>
      </c>
      <c r="F12" t="s">
        <v>655</v>
      </c>
      <c r="G12" t="s">
        <v>611</v>
      </c>
      <c r="H12" t="s">
        <v>567</v>
      </c>
    </row>
    <row r="13" spans="1:8" x14ac:dyDescent="0.2">
      <c r="A13" s="22">
        <v>42106</v>
      </c>
      <c r="B13" s="15">
        <v>3</v>
      </c>
      <c r="C13" s="25" t="str">
        <f t="shared" si="0"/>
        <v>weekend</v>
      </c>
      <c r="D13" t="s">
        <v>613</v>
      </c>
      <c r="E13" t="s">
        <v>569</v>
      </c>
      <c r="F13" t="s">
        <v>471</v>
      </c>
      <c r="G13" t="s">
        <v>656</v>
      </c>
      <c r="H13" t="s">
        <v>612</v>
      </c>
    </row>
    <row r="14" spans="1:8" x14ac:dyDescent="0.2">
      <c r="A14" s="22">
        <v>42107</v>
      </c>
      <c r="B14" s="20">
        <v>3</v>
      </c>
      <c r="C14" s="25" t="str">
        <f t="shared" si="0"/>
        <v/>
      </c>
      <c r="D14" t="s">
        <v>658</v>
      </c>
      <c r="E14" t="s">
        <v>614</v>
      </c>
      <c r="F14" t="s">
        <v>570</v>
      </c>
      <c r="G14" t="s">
        <v>472</v>
      </c>
      <c r="H14" t="s">
        <v>657</v>
      </c>
    </row>
    <row r="15" spans="1:8" x14ac:dyDescent="0.2">
      <c r="A15" s="22">
        <v>42108</v>
      </c>
      <c r="B15" s="11">
        <v>4</v>
      </c>
      <c r="C15" s="25" t="str">
        <f t="shared" si="0"/>
        <v/>
      </c>
      <c r="D15" t="s">
        <v>474</v>
      </c>
      <c r="E15" t="s">
        <v>659</v>
      </c>
      <c r="F15" t="s">
        <v>615</v>
      </c>
      <c r="G15" t="s">
        <v>571</v>
      </c>
      <c r="H15" t="s">
        <v>473</v>
      </c>
    </row>
    <row r="16" spans="1:8" x14ac:dyDescent="0.2">
      <c r="A16" s="22">
        <v>42109</v>
      </c>
      <c r="B16" s="11">
        <v>4</v>
      </c>
      <c r="C16" s="25" t="str">
        <f t="shared" si="0"/>
        <v/>
      </c>
      <c r="D16" t="s">
        <v>518</v>
      </c>
      <c r="E16" t="s">
        <v>475</v>
      </c>
      <c r="F16" t="s">
        <v>660</v>
      </c>
      <c r="G16" t="s">
        <v>616</v>
      </c>
      <c r="H16" t="s">
        <v>572</v>
      </c>
    </row>
    <row r="17" spans="1:8" x14ac:dyDescent="0.2">
      <c r="A17" s="22">
        <v>42110</v>
      </c>
      <c r="B17" s="15">
        <v>4</v>
      </c>
      <c r="C17" s="25" t="str">
        <f t="shared" si="0"/>
        <v/>
      </c>
      <c r="D17" t="s">
        <v>618</v>
      </c>
      <c r="E17" t="s">
        <v>519</v>
      </c>
      <c r="F17" t="s">
        <v>476</v>
      </c>
      <c r="G17" t="s">
        <v>661</v>
      </c>
      <c r="H17" t="s">
        <v>617</v>
      </c>
    </row>
    <row r="18" spans="1:8" x14ac:dyDescent="0.2">
      <c r="A18" s="22">
        <v>42111</v>
      </c>
      <c r="B18" s="20">
        <v>4</v>
      </c>
      <c r="C18" s="25" t="str">
        <f t="shared" si="0"/>
        <v/>
      </c>
      <c r="D18" t="s">
        <v>663</v>
      </c>
      <c r="E18" t="s">
        <v>619</v>
      </c>
      <c r="F18" t="s">
        <v>520</v>
      </c>
      <c r="G18" t="s">
        <v>477</v>
      </c>
      <c r="H18" t="s">
        <v>662</v>
      </c>
    </row>
    <row r="19" spans="1:8" x14ac:dyDescent="0.2">
      <c r="A19" s="22">
        <v>42112</v>
      </c>
      <c r="B19" s="11">
        <v>5</v>
      </c>
      <c r="C19" s="25" t="str">
        <f t="shared" si="0"/>
        <v>weekend</v>
      </c>
      <c r="D19" t="s">
        <v>479</v>
      </c>
      <c r="E19" t="s">
        <v>664</v>
      </c>
      <c r="F19" t="s">
        <v>620</v>
      </c>
      <c r="G19" t="s">
        <v>521</v>
      </c>
      <c r="H19" t="s">
        <v>478</v>
      </c>
    </row>
    <row r="20" spans="1:8" x14ac:dyDescent="0.2">
      <c r="A20" s="22">
        <v>42113</v>
      </c>
      <c r="B20" s="11">
        <v>5</v>
      </c>
      <c r="C20" s="25" t="str">
        <f t="shared" si="0"/>
        <v>weekend</v>
      </c>
      <c r="D20" t="s">
        <v>523</v>
      </c>
      <c r="E20" t="s">
        <v>480</v>
      </c>
      <c r="F20" t="s">
        <v>665</v>
      </c>
      <c r="G20" t="s">
        <v>621</v>
      </c>
      <c r="H20" t="s">
        <v>522</v>
      </c>
    </row>
    <row r="21" spans="1:8" x14ac:dyDescent="0.2">
      <c r="A21" s="22">
        <v>42114</v>
      </c>
      <c r="B21" s="15">
        <v>5</v>
      </c>
      <c r="C21" s="25" t="str">
        <f t="shared" si="0"/>
        <v/>
      </c>
      <c r="D21" t="s">
        <v>623</v>
      </c>
      <c r="E21" t="s">
        <v>524</v>
      </c>
      <c r="F21" t="s">
        <v>481</v>
      </c>
      <c r="G21" t="s">
        <v>666</v>
      </c>
      <c r="H21" t="s">
        <v>622</v>
      </c>
    </row>
    <row r="22" spans="1:8" x14ac:dyDescent="0.2">
      <c r="A22" s="22">
        <v>42115</v>
      </c>
      <c r="B22" s="20">
        <v>5</v>
      </c>
      <c r="C22" s="25" t="str">
        <f t="shared" si="0"/>
        <v/>
      </c>
      <c r="D22" t="s">
        <v>668</v>
      </c>
      <c r="E22" t="s">
        <v>624</v>
      </c>
      <c r="F22" t="s">
        <v>525</v>
      </c>
      <c r="G22" t="s">
        <v>482</v>
      </c>
      <c r="H22" t="s">
        <v>667</v>
      </c>
    </row>
    <row r="23" spans="1:8" x14ac:dyDescent="0.2">
      <c r="A23" s="22">
        <v>42116</v>
      </c>
      <c r="B23" s="11">
        <v>6</v>
      </c>
      <c r="C23" s="25" t="str">
        <f t="shared" si="0"/>
        <v/>
      </c>
      <c r="D23" t="s">
        <v>484</v>
      </c>
      <c r="E23" t="s">
        <v>669</v>
      </c>
      <c r="F23" t="s">
        <v>625</v>
      </c>
      <c r="G23" t="s">
        <v>526</v>
      </c>
      <c r="H23" t="s">
        <v>483</v>
      </c>
    </row>
    <row r="24" spans="1:8" x14ac:dyDescent="0.2">
      <c r="A24" s="22">
        <v>42117</v>
      </c>
      <c r="B24" s="11">
        <v>6</v>
      </c>
      <c r="C24" s="25" t="str">
        <f t="shared" si="0"/>
        <v/>
      </c>
      <c r="D24" t="s">
        <v>528</v>
      </c>
      <c r="E24" t="s">
        <v>485</v>
      </c>
      <c r="F24" t="s">
        <v>670</v>
      </c>
      <c r="G24" t="s">
        <v>626</v>
      </c>
      <c r="H24" t="s">
        <v>527</v>
      </c>
    </row>
    <row r="25" spans="1:8" x14ac:dyDescent="0.2">
      <c r="A25" s="22">
        <v>42118</v>
      </c>
      <c r="B25" s="11">
        <v>6</v>
      </c>
      <c r="C25" s="25" t="str">
        <f t="shared" si="0"/>
        <v/>
      </c>
      <c r="D25" t="s">
        <v>573</v>
      </c>
      <c r="E25" t="s">
        <v>529</v>
      </c>
      <c r="F25" t="s">
        <v>486</v>
      </c>
      <c r="G25" t="s">
        <v>671</v>
      </c>
      <c r="H25" t="s">
        <v>627</v>
      </c>
    </row>
    <row r="26" spans="1:8" x14ac:dyDescent="0.2">
      <c r="A26" s="22">
        <v>42119</v>
      </c>
      <c r="B26" s="20">
        <v>6</v>
      </c>
      <c r="C26" s="25" t="str">
        <f t="shared" si="0"/>
        <v>weekend</v>
      </c>
      <c r="D26" t="s">
        <v>673</v>
      </c>
      <c r="E26" t="s">
        <v>574</v>
      </c>
      <c r="F26" t="s">
        <v>530</v>
      </c>
      <c r="G26" t="s">
        <v>487</v>
      </c>
      <c r="H26" t="s">
        <v>672</v>
      </c>
    </row>
    <row r="27" spans="1:8" x14ac:dyDescent="0.2">
      <c r="A27" s="22">
        <v>42120</v>
      </c>
      <c r="B27" s="11">
        <v>7</v>
      </c>
      <c r="C27" s="25" t="str">
        <f t="shared" si="0"/>
        <v>weekend</v>
      </c>
      <c r="D27" t="s">
        <v>489</v>
      </c>
      <c r="E27" t="s">
        <v>674</v>
      </c>
      <c r="F27" t="s">
        <v>575</v>
      </c>
      <c r="G27" t="s">
        <v>531</v>
      </c>
      <c r="H27" t="s">
        <v>488</v>
      </c>
    </row>
    <row r="28" spans="1:8" x14ac:dyDescent="0.2">
      <c r="A28" s="22">
        <v>42121</v>
      </c>
      <c r="B28" s="11">
        <v>7</v>
      </c>
      <c r="C28" s="25" t="str">
        <f t="shared" si="0"/>
        <v/>
      </c>
      <c r="D28" t="s">
        <v>533</v>
      </c>
      <c r="E28" t="s">
        <v>490</v>
      </c>
      <c r="F28" t="s">
        <v>675</v>
      </c>
      <c r="G28" t="s">
        <v>576</v>
      </c>
      <c r="H28" t="s">
        <v>532</v>
      </c>
    </row>
    <row r="29" spans="1:8" x14ac:dyDescent="0.2">
      <c r="A29" s="22">
        <v>42122</v>
      </c>
      <c r="B29" s="11">
        <v>7</v>
      </c>
      <c r="C29" s="25" t="str">
        <f t="shared" si="0"/>
        <v/>
      </c>
      <c r="D29" t="s">
        <v>578</v>
      </c>
      <c r="E29" t="s">
        <v>534</v>
      </c>
      <c r="F29" t="s">
        <v>491</v>
      </c>
      <c r="G29" t="s">
        <v>676</v>
      </c>
      <c r="H29" t="s">
        <v>577</v>
      </c>
    </row>
    <row r="30" spans="1:8" x14ac:dyDescent="0.2">
      <c r="A30" s="22">
        <v>42123</v>
      </c>
      <c r="B30" s="20">
        <v>7</v>
      </c>
      <c r="C30" s="25" t="str">
        <f t="shared" si="0"/>
        <v/>
      </c>
      <c r="D30" t="s">
        <v>678</v>
      </c>
      <c r="E30" t="s">
        <v>579</v>
      </c>
      <c r="F30" t="s">
        <v>535</v>
      </c>
      <c r="G30" t="s">
        <v>492</v>
      </c>
      <c r="H30" t="s">
        <v>677</v>
      </c>
    </row>
    <row r="31" spans="1:8" x14ac:dyDescent="0.2">
      <c r="A31" s="22">
        <v>42124</v>
      </c>
      <c r="B31" s="11">
        <v>8</v>
      </c>
      <c r="C31" s="25" t="str">
        <f t="shared" si="0"/>
        <v/>
      </c>
      <c r="D31" t="s">
        <v>494</v>
      </c>
      <c r="E31" t="s">
        <v>679</v>
      </c>
      <c r="F31" t="s">
        <v>580</v>
      </c>
      <c r="G31" t="s">
        <v>536</v>
      </c>
      <c r="H31" t="s">
        <v>493</v>
      </c>
    </row>
    <row r="32" spans="1:8" x14ac:dyDescent="0.2">
      <c r="A32" s="22">
        <v>42125</v>
      </c>
      <c r="B32" s="11">
        <v>8</v>
      </c>
      <c r="C32" s="25" t="str">
        <f t="shared" si="0"/>
        <v/>
      </c>
      <c r="D32" t="s">
        <v>538</v>
      </c>
      <c r="E32" t="s">
        <v>495</v>
      </c>
      <c r="F32" t="s">
        <v>680</v>
      </c>
      <c r="G32" t="s">
        <v>581</v>
      </c>
      <c r="H32" t="s">
        <v>537</v>
      </c>
    </row>
    <row r="33" spans="1:8" x14ac:dyDescent="0.2">
      <c r="A33" s="22">
        <v>42126</v>
      </c>
      <c r="B33" s="11">
        <v>8</v>
      </c>
      <c r="C33" s="25" t="str">
        <f t="shared" si="0"/>
        <v>weekend</v>
      </c>
      <c r="D33" t="s">
        <v>583</v>
      </c>
      <c r="E33" t="s">
        <v>539</v>
      </c>
      <c r="F33" t="s">
        <v>496</v>
      </c>
      <c r="G33" t="s">
        <v>681</v>
      </c>
      <c r="H33" t="s">
        <v>582</v>
      </c>
    </row>
    <row r="34" spans="1:8" x14ac:dyDescent="0.2">
      <c r="A34" s="22">
        <v>42127</v>
      </c>
      <c r="B34" s="11">
        <v>8</v>
      </c>
      <c r="C34" s="25" t="str">
        <f t="shared" si="0"/>
        <v>weekend</v>
      </c>
      <c r="D34" t="s">
        <v>628</v>
      </c>
      <c r="E34" t="s">
        <v>584</v>
      </c>
      <c r="F34" t="s">
        <v>540</v>
      </c>
      <c r="G34" t="s">
        <v>497</v>
      </c>
      <c r="H34" t="s">
        <v>682</v>
      </c>
    </row>
    <row r="35" spans="1:8" x14ac:dyDescent="0.2">
      <c r="A35" s="22">
        <v>42128</v>
      </c>
      <c r="B35" s="11">
        <v>9</v>
      </c>
      <c r="C35" s="25" t="str">
        <f t="shared" si="0"/>
        <v/>
      </c>
      <c r="D35" t="s">
        <v>499</v>
      </c>
      <c r="E35" t="s">
        <v>629</v>
      </c>
      <c r="F35" t="s">
        <v>585</v>
      </c>
      <c r="G35" t="s">
        <v>541</v>
      </c>
      <c r="H35" t="s">
        <v>498</v>
      </c>
    </row>
    <row r="36" spans="1:8" x14ac:dyDescent="0.2">
      <c r="A36" s="22">
        <v>42129</v>
      </c>
      <c r="B36" s="11">
        <v>9</v>
      </c>
      <c r="C36" s="25" t="str">
        <f t="shared" si="0"/>
        <v/>
      </c>
      <c r="D36" t="s">
        <v>543</v>
      </c>
      <c r="E36" t="s">
        <v>500</v>
      </c>
      <c r="F36" t="s">
        <v>630</v>
      </c>
      <c r="G36" t="s">
        <v>586</v>
      </c>
      <c r="H36" t="s">
        <v>542</v>
      </c>
    </row>
    <row r="37" spans="1:8" x14ac:dyDescent="0.2">
      <c r="A37" s="22">
        <v>42130</v>
      </c>
      <c r="B37" s="11">
        <v>9</v>
      </c>
      <c r="C37" s="25" t="str">
        <f t="shared" si="0"/>
        <v/>
      </c>
      <c r="D37" t="s">
        <v>588</v>
      </c>
      <c r="E37" t="s">
        <v>544</v>
      </c>
      <c r="F37" t="s">
        <v>501</v>
      </c>
      <c r="G37" t="s">
        <v>631</v>
      </c>
      <c r="H37" t="s">
        <v>587</v>
      </c>
    </row>
    <row r="38" spans="1:8" x14ac:dyDescent="0.2">
      <c r="A38" s="22">
        <v>42131</v>
      </c>
      <c r="B38" s="11">
        <v>9</v>
      </c>
      <c r="C38" s="25" t="str">
        <f t="shared" si="0"/>
        <v/>
      </c>
      <c r="D38" t="s">
        <v>633</v>
      </c>
      <c r="E38" t="s">
        <v>589</v>
      </c>
      <c r="F38" t="s">
        <v>545</v>
      </c>
      <c r="G38" t="s">
        <v>502</v>
      </c>
      <c r="H38" t="s">
        <v>632</v>
      </c>
    </row>
    <row r="39" spans="1:8" x14ac:dyDescent="0.2">
      <c r="A39" s="22">
        <v>42132</v>
      </c>
      <c r="B39" s="11">
        <v>10</v>
      </c>
      <c r="C39" s="25" t="str">
        <f t="shared" si="0"/>
        <v/>
      </c>
      <c r="D39" t="s">
        <v>504</v>
      </c>
      <c r="E39" t="s">
        <v>634</v>
      </c>
      <c r="F39" t="s">
        <v>590</v>
      </c>
      <c r="G39" t="s">
        <v>546</v>
      </c>
      <c r="H39" t="s">
        <v>503</v>
      </c>
    </row>
    <row r="40" spans="1:8" x14ac:dyDescent="0.2">
      <c r="A40" s="22">
        <v>42133</v>
      </c>
      <c r="B40" s="11">
        <v>10</v>
      </c>
      <c r="C40" s="25" t="str">
        <f t="shared" si="0"/>
        <v>weekend</v>
      </c>
      <c r="D40" t="s">
        <v>548</v>
      </c>
      <c r="E40" t="s">
        <v>505</v>
      </c>
      <c r="F40" t="s">
        <v>635</v>
      </c>
      <c r="G40" t="s">
        <v>591</v>
      </c>
      <c r="H40" t="s">
        <v>547</v>
      </c>
    </row>
    <row r="41" spans="1:8" x14ac:dyDescent="0.2">
      <c r="A41" s="22">
        <v>42134</v>
      </c>
      <c r="B41" s="11">
        <v>10</v>
      </c>
      <c r="C41" s="25" t="str">
        <f t="shared" si="0"/>
        <v>weekend</v>
      </c>
      <c r="D41" t="s">
        <v>593</v>
      </c>
      <c r="E41" t="s">
        <v>549</v>
      </c>
      <c r="F41" t="s">
        <v>506</v>
      </c>
      <c r="G41" t="s">
        <v>636</v>
      </c>
      <c r="H41" t="s">
        <v>592</v>
      </c>
    </row>
    <row r="42" spans="1:8" x14ac:dyDescent="0.2">
      <c r="A42" s="22">
        <v>42135</v>
      </c>
      <c r="B42" s="11">
        <v>10</v>
      </c>
      <c r="C42" s="25" t="str">
        <f t="shared" si="0"/>
        <v/>
      </c>
      <c r="D42" t="s">
        <v>638</v>
      </c>
      <c r="E42" t="s">
        <v>594</v>
      </c>
      <c r="F42" t="s">
        <v>550</v>
      </c>
      <c r="G42" t="s">
        <v>507</v>
      </c>
      <c r="H42" t="s">
        <v>637</v>
      </c>
    </row>
    <row r="43" spans="1:8" x14ac:dyDescent="0.2">
      <c r="A43" s="22">
        <v>42136</v>
      </c>
      <c r="B43" s="11">
        <v>10</v>
      </c>
      <c r="C43" s="25" t="str">
        <f t="shared" si="0"/>
        <v/>
      </c>
      <c r="D43" t="s">
        <v>683</v>
      </c>
      <c r="E43" t="s">
        <v>639</v>
      </c>
      <c r="F43" t="s">
        <v>595</v>
      </c>
      <c r="G43" t="s">
        <v>551</v>
      </c>
      <c r="H43" t="s">
        <v>508</v>
      </c>
    </row>
    <row r="44" spans="1:8" x14ac:dyDescent="0.2">
      <c r="A44" s="22">
        <v>42137</v>
      </c>
      <c r="B44" s="11">
        <v>11</v>
      </c>
      <c r="C44" s="25" t="str">
        <f t="shared" si="0"/>
        <v/>
      </c>
      <c r="D44" t="s">
        <v>509</v>
      </c>
      <c r="E44" t="s">
        <v>684</v>
      </c>
      <c r="F44" t="s">
        <v>640</v>
      </c>
      <c r="G44" t="s">
        <v>596</v>
      </c>
      <c r="H44" t="s">
        <v>552</v>
      </c>
    </row>
    <row r="45" spans="1:8" x14ac:dyDescent="0.2">
      <c r="A45" s="22">
        <v>42138</v>
      </c>
      <c r="B45" s="11">
        <v>11</v>
      </c>
      <c r="C45" s="25" t="str">
        <f t="shared" si="0"/>
        <v/>
      </c>
      <c r="D45" t="s">
        <v>553</v>
      </c>
      <c r="E45" t="s">
        <v>510</v>
      </c>
      <c r="F45" t="s">
        <v>685</v>
      </c>
      <c r="G45" t="s">
        <v>641</v>
      </c>
      <c r="H45" t="s">
        <v>597</v>
      </c>
    </row>
    <row r="46" spans="1:8" x14ac:dyDescent="0.2">
      <c r="A46" s="22">
        <v>42139</v>
      </c>
      <c r="B46" s="11">
        <v>11</v>
      </c>
      <c r="C46" s="25" t="str">
        <f t="shared" si="0"/>
        <v/>
      </c>
      <c r="D46" t="s">
        <v>598</v>
      </c>
      <c r="E46" t="s">
        <v>554</v>
      </c>
      <c r="F46" t="s">
        <v>511</v>
      </c>
      <c r="G46" t="s">
        <v>686</v>
      </c>
      <c r="H46" t="s">
        <v>642</v>
      </c>
    </row>
    <row r="47" spans="1:8" x14ac:dyDescent="0.2">
      <c r="A47" s="22">
        <v>42140</v>
      </c>
      <c r="B47" s="11">
        <v>11</v>
      </c>
      <c r="C47" s="25" t="str">
        <f t="shared" si="0"/>
        <v>weekend</v>
      </c>
      <c r="D47" t="s">
        <v>643</v>
      </c>
      <c r="E47" t="s">
        <v>599</v>
      </c>
      <c r="F47" t="s">
        <v>555</v>
      </c>
      <c r="G47" t="s">
        <v>512</v>
      </c>
      <c r="H47" t="s">
        <v>687</v>
      </c>
    </row>
    <row r="48" spans="1:8" x14ac:dyDescent="0.2">
      <c r="A48" s="22">
        <v>42141</v>
      </c>
      <c r="B48" s="11">
        <v>11</v>
      </c>
      <c r="C48" s="25" t="str">
        <f t="shared" si="0"/>
        <v>weekend</v>
      </c>
      <c r="D48" t="s">
        <v>688</v>
      </c>
      <c r="E48" t="s">
        <v>644</v>
      </c>
      <c r="F48" t="s">
        <v>600</v>
      </c>
      <c r="G48" t="s">
        <v>556</v>
      </c>
      <c r="H48" t="s">
        <v>513</v>
      </c>
    </row>
  </sheetData>
  <conditionalFormatting sqref="D2:H48">
    <cfRule type="expression" dxfId="1" priority="1">
      <formula>AND($C2&lt;&gt;"weekend",OR(AND(MID(D2,7,1)="A",OR(MID(D2,16,1)="A",MID(D2,18,1)="A")),AND(MID(D2,7,1)="D",OR(MID(D2,16,1)="A",MID(D2,18,1)="A"))))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message</vt:lpstr>
      <vt:lpstr>schedule</vt:lpstr>
      <vt:lpstr>library</vt:lpstr>
      <vt:lpstr>Sheet1</vt:lpstr>
      <vt:lpstr>Sheet2</vt:lpstr>
      <vt:lpstr>Sheet3</vt:lpstr>
      <vt:lpstr>Sheet4</vt:lpstr>
    </vt:vector>
  </TitlesOfParts>
  <Company>Qi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</dc:creator>
  <cp:lastModifiedBy>JJB</cp:lastModifiedBy>
  <dcterms:created xsi:type="dcterms:W3CDTF">2006-04-09T13:10:58Z</dcterms:created>
  <dcterms:modified xsi:type="dcterms:W3CDTF">2014-09-15T11:48:04Z</dcterms:modified>
</cp:coreProperties>
</file>